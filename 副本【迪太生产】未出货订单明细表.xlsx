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20" firstSheet="3" activeTab="3"/>
  </bookViews>
  <sheets>
    <sheet name="【成品】滚动安全库存策略" sheetId="1" state="hidden" r:id="rId1"/>
    <sheet name="【量产客户】发货checklist" sheetId="2" state="hidden" r:id="rId2"/>
    <sheet name="历史订单（系统未关闭）" sheetId="3" state="hidden" r:id="rId3"/>
    <sheet name="【迪太生产】未出货订单明细（所有部门查看）" sheetId="5" r:id="rId4"/>
    <sheet name="【L182&amp;L401】待交货订单明细" sheetId="10" state="hidden" r:id="rId5"/>
    <sheet name="5月订单交付明细（4.22锁单版）" sheetId="11" state="hidden" r:id="rId6"/>
    <sheet name="25年订单准交率（从4月份起）" sheetId="12" state="hidden" r:id="rId7"/>
    <sheet name="【乐骑】待交货订单明细（市场维护）" sheetId="1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tc={4875570A-D6CA-4CF0-9059-4FA4682F9473}</author>
  </authors>
  <commentList>
    <comment ref="G5" authorId="0">
      <text>
        <r>
          <rPr>
            <sz val="10"/>
            <color rgb="FF000000"/>
            <rFont val="等线"/>
            <scheme val="minor"/>
            <charset val="0"/>
          </rPr>
          <t>已审核状态 才能发布订单通知给PMC和采购；未审核状态，禁止发布订单通知</t>
        </r>
      </text>
    </comment>
  </commentList>
</comments>
</file>

<file path=xl/comments2.xml><?xml version="1.0" encoding="utf-8"?>
<comments xmlns="http://schemas.openxmlformats.org/spreadsheetml/2006/main">
  <authors>
    <author>tc={379DE944-7166-4A9C-8DE5-2177D192DCC5}</author>
    <author>tc={E5556ADE-E4FE-43FC-9F32-F918F8AD89F4}</author>
    <author>tc={2A97400B-2B77-4CBC-A0E7-27DE9044F2D8}</author>
    <author>tc={792220BD-4A8F-4B5F-A22E-743D7D54329F}</author>
    <author>tc={9FF19388-4548-4CC9-8015-B4CCBA81308D}</author>
    <author>tc={E4EE62FE-B33E-42A8-B691-0E0B2DD44AFB}</author>
    <author>tc={13D02CBC-C92C-49B1-9761-25C07D7EC955}</author>
    <author>tc={9B037652-B9A9-4E96-AC52-EA0D4B66BD1C}</author>
    <author>tc={1BCE67F4-CA80-47F0-8299-10450F3BD76B}</author>
    <author>tc={5069BDEF-C5B6-4FD8-9D96-A65A9C64ED3E}</author>
    <author>tc={DB4E23F6-6239-4B4D-A187-E6FCA4C7179A}</author>
    <author>tc={B84B4441-7389-45AF-8352-42BF778B58B7}</author>
    <author>tc={0B06FE00-4569-4309-AF31-919DBE5A1777}</author>
    <author>tc={A311008E-8DCC-48E9-AD43-60BFC46CA32D}</author>
    <author>tc={92CEFF41-6114-42B8-B85A-D7EC6FF25232}</author>
    <author>tc={E92DD4D8-E503-47D3-B4E3-F14718AD656A}</author>
    <author>tc={1D23F9D7-CE58-4ED0-85A9-4C6DB049368A}</author>
    <author>tc={56BFD107-1F3F-4DCE-9246-1B6CADC9B9F7}</author>
    <author>tc={8737A6C3-62C8-4155-8EDA-B6B97382C93F}</author>
    <author>tc={3589B735-CEC2-4D31-954A-12A3CE8154C5}</author>
    <author>tc={6DF15E17-D631-48F4-9562-9F0F866652FB}</author>
    <author>tc={26542B64-DCDB-485B-B08B-7E5945AB00D8}</author>
    <author>tc={73B20A75-BB6B-495F-ABB7-5BE87E84278E}</author>
    <author>tc={B55F0AAA-EEBA-4009-A275-F7A0B71A669D}</author>
    <author>tc={77219282-12F9-4B32-95C1-C020869A7D49}</author>
    <author>tc={0C6DDB02-A619-413B-ACD8-5A8C8807EA9F}</author>
    <author>tc={E14656AE-AFB9-4F1D-A9A0-F939B5E420F4}</author>
    <author>tc={E251EE3F-FD24-4FC0-8212-77EEA68C303C}</author>
    <author>tc={FAFCA787-CEF7-4C92-814C-E8C1CCBCBC1B}</author>
    <author>tc={49AA905A-AD5E-4390-9141-8ED35B79E3A2}</author>
    <author>tc={027F3984-4CC0-4EED-95A9-26F3A30454D1}</author>
    <author>tc={2EBE353B-0DB1-4A79-95FA-1816998A0DBD}</author>
    <author>tc={59CAB3BC-D370-4D60-9079-63AF5EEE3B4E}</author>
  </authors>
  <commentList>
    <comment ref="Q5" authorId="0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S5" authorId="1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AD5" authorId="2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AF5" authorId="3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AH5" authorId="4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S8" authorId="5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U8" authorId="6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AG8" authorId="7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AQ8" authorId="8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P10" authorId="9">
      <text>
        <r>
          <rPr>
            <sz val="10"/>
            <color rgb="FF000000"/>
            <rFont val="等线"/>
            <scheme val="minor"/>
            <charset val="0"/>
          </rPr>
          <t>10/23与乐骑对未交总数，乐骑未交总数是32635，差异3340，需排查</t>
        </r>
      </text>
    </comment>
    <comment ref="Q10" authorId="10">
      <text>
        <r>
          <rPr>
            <sz val="10"/>
            <color rgb="FF000000"/>
            <rFont val="等线"/>
            <scheme val="minor"/>
            <charset val="0"/>
          </rPr>
          <t>1100交比亚迪；1900交珠海</t>
        </r>
      </text>
    </comment>
    <comment ref="S10" authorId="11">
      <text>
        <r>
          <rPr>
            <sz val="10"/>
            <color rgb="FF000000"/>
            <rFont val="等线"/>
            <scheme val="minor"/>
            <charset val="0"/>
          </rPr>
          <t>交珠海。要凑够近400才不导致乐骑欠料，24号下午 PMC给出结论。</t>
        </r>
      </text>
    </comment>
    <comment ref="W10" authorId="12">
      <text>
        <r>
          <rPr>
            <sz val="10"/>
            <color rgb="FF000000"/>
            <rFont val="等线"/>
            <scheme val="minor"/>
            <charset val="0"/>
          </rPr>
          <t>交比亚迪。 乐骑接受最晚31号上午10点前到比亚迪</t>
        </r>
      </text>
    </comment>
    <comment ref="X10" authorId="13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Y10" authorId="14">
      <text>
        <r>
          <rPr>
            <sz val="10"/>
            <color rgb="FF000000"/>
            <rFont val="等线"/>
            <scheme val="minor"/>
            <charset val="0"/>
          </rPr>
          <t>交珠海</t>
        </r>
      </text>
    </comment>
    <comment ref="Z10" authorId="15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AB10" authorId="16">
      <text>
        <r>
          <rPr>
            <sz val="10"/>
            <color rgb="FF000000"/>
            <rFont val="等线"/>
            <scheme val="minor"/>
            <charset val="0"/>
          </rPr>
          <t>交比亚迪</t>
        </r>
      </text>
    </comment>
    <comment ref="AM10" authorId="17">
      <text>
        <r>
          <rPr>
            <sz val="10"/>
            <color rgb="FF000000"/>
            <rFont val="等线"/>
            <scheme val="minor"/>
            <charset val="0"/>
          </rPr>
          <t>交珠海。</t>
        </r>
      </text>
    </comment>
    <comment ref="R18" authorId="18">
      <text>
        <r>
          <rPr>
            <sz val="10"/>
            <color rgb="FF000000"/>
            <rFont val="等线"/>
            <scheme val="minor"/>
            <charset val="0"/>
          </rPr>
          <t>10/25 总共只交付了45个。5个封样，40个交珠海。封样件：5个交乐骑研发，45个交珠海。  PMC工单额外多做1个给博士</t>
        </r>
      </text>
    </comment>
    <comment ref="T18" authorId="19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V18" authorId="20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W18" authorId="21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X18" authorId="22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Y18" authorId="23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Z18" authorId="24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A18" authorId="25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B18" authorId="26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C18" authorId="27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D18" authorId="28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E18" authorId="29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F18" authorId="30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G18" authorId="31">
      <text>
        <r>
          <rPr>
            <sz val="10"/>
            <color rgb="FF000000"/>
            <rFont val="等线"/>
            <scheme val="minor"/>
            <charset val="0"/>
          </rPr>
          <t>软件版本：2.6.0_0027</t>
        </r>
      </text>
    </comment>
    <comment ref="AI18" authorId="32">
      <text>
        <r>
          <rPr>
            <sz val="10"/>
            <color rgb="FF000000"/>
            <rFont val="等线"/>
            <scheme val="minor"/>
            <charset val="0"/>
          </rPr>
          <t>10/23与陈泽兰现场决议：10/31释放新软件。若晚释放一天，则交期顺延一天</t>
        </r>
      </text>
    </comment>
  </commentList>
</comments>
</file>

<file path=xl/sharedStrings.xml><?xml version="1.0" encoding="utf-8"?>
<sst xmlns="http://schemas.openxmlformats.org/spreadsheetml/2006/main" count="2600" uniqueCount="947">
  <si>
    <t>重点客户</t>
  </si>
  <si>
    <t>机种</t>
  </si>
  <si>
    <t>产品型号</t>
  </si>
  <si>
    <t>产品编码</t>
  </si>
  <si>
    <r>
      <rPr>
        <b/>
        <sz val="9"/>
        <color rgb="FF000000"/>
        <rFont val="等线"/>
        <charset val="134"/>
      </rPr>
      <t>安全库存</t>
    </r>
    <r>
      <rPr>
        <b/>
        <sz val="9"/>
        <color rgb="FF000000"/>
        <rFont val="等线"/>
        <charset val="134"/>
      </rPr>
      <t xml:space="preserve">
（pcs）</t>
    </r>
  </si>
  <si>
    <t>生产程序版本</t>
  </si>
  <si>
    <t>备注</t>
  </si>
  <si>
    <t>嘉宏</t>
  </si>
  <si>
    <t>BC280</t>
  </si>
  <si>
    <t>BC280SJH21</t>
  </si>
  <si>
    <t>61400186-B-00002</t>
  </si>
  <si>
    <t>BC280SJH25</t>
  </si>
  <si>
    <t>61400047-L-00037</t>
  </si>
  <si>
    <t>这4款物料一样，可互相改制</t>
  </si>
  <si>
    <t>BC280SJH27</t>
  </si>
  <si>
    <t>61400047-L-00035</t>
  </si>
  <si>
    <t>BC280SJH29</t>
  </si>
  <si>
    <t>61400047-L-00049</t>
  </si>
  <si>
    <t>BC280SJH30</t>
  </si>
  <si>
    <t>61400047-L-00050</t>
  </si>
  <si>
    <t>BC280SJH31</t>
  </si>
  <si>
    <t>61400047-L-00036</t>
  </si>
  <si>
    <t>BC201</t>
  </si>
  <si>
    <t>BC201SJH3</t>
  </si>
  <si>
    <t>61400220-A-00005</t>
  </si>
  <si>
    <t>BC201SJH4</t>
  </si>
  <si>
    <t>61400220-A-00006</t>
  </si>
  <si>
    <t>鑫堡</t>
  </si>
  <si>
    <t>L182</t>
  </si>
  <si>
    <t>L182EXB2-O</t>
  </si>
  <si>
    <t>61400181-B-00013</t>
  </si>
  <si>
    <t>母端出线，无蓝牙版 大部分型号可互相改制</t>
  </si>
  <si>
    <t>L182EXB2-A</t>
  </si>
  <si>
    <t>61400181-B-00005</t>
  </si>
  <si>
    <t>公端出线</t>
  </si>
  <si>
    <t>L182SXB1-B</t>
  </si>
  <si>
    <t>61400175-1-00002</t>
  </si>
  <si>
    <t>蓝牙版</t>
  </si>
  <si>
    <t>BC182</t>
  </si>
  <si>
    <t>BC182EW2-P</t>
  </si>
  <si>
    <t>61400205-A-00013</t>
  </si>
  <si>
    <t>客户logo</t>
  </si>
  <si>
    <t>BC182SW2-A</t>
  </si>
  <si>
    <t>61400154-B-00055</t>
  </si>
  <si>
    <t>L401</t>
  </si>
  <si>
    <t>L401EXB1-D</t>
  </si>
  <si>
    <t>61400177-A-00001</t>
  </si>
  <si>
    <t>L401EXB2-A</t>
  </si>
  <si>
    <t>61400177-A-00005</t>
  </si>
  <si>
    <t>LIME
鸿霖
喜德盛</t>
  </si>
  <si>
    <t>LE18D</t>
  </si>
  <si>
    <t>Citra</t>
  </si>
  <si>
    <t>鸿霖</t>
  </si>
  <si>
    <t>EH001</t>
  </si>
  <si>
    <t>EH002</t>
  </si>
  <si>
    <t>银三环</t>
  </si>
  <si>
    <t>BC351</t>
  </si>
  <si>
    <t>BC351S-AGOT-1-EU</t>
  </si>
  <si>
    <t>61400206-B-00002</t>
  </si>
  <si>
    <t>BC351S-CARGO-1-EU</t>
  </si>
  <si>
    <t>61400226-A-00001</t>
  </si>
  <si>
    <t>BC201S-AGOX-1-EU</t>
  </si>
  <si>
    <t>61400195-B-00001</t>
  </si>
  <si>
    <t>客户</t>
  </si>
  <si>
    <t>订单类型</t>
  </si>
  <si>
    <t>型号</t>
  </si>
  <si>
    <t>发货流程及注意事项</t>
  </si>
  <si>
    <t>送货单</t>
  </si>
  <si>
    <t>箱唛</t>
  </si>
  <si>
    <r>
      <rPr>
        <b/>
        <sz val="10"/>
        <color rgb="FF000000"/>
        <rFont val="等线"/>
        <charset val="134"/>
      </rPr>
      <t>附件要求</t>
    </r>
    <r>
      <rPr>
        <b/>
        <sz val="10"/>
        <color rgb="FF000000"/>
        <rFont val="等线"/>
        <charset val="134"/>
      </rPr>
      <t xml:space="preserve">
（支架/螺丝出货方式)</t>
    </r>
  </si>
  <si>
    <t>出厂检验报告</t>
  </si>
  <si>
    <t>SN上传客户系统</t>
  </si>
  <si>
    <r>
      <rPr>
        <b/>
        <sz val="10"/>
        <color rgb="FF000000"/>
        <rFont val="微软雅黑"/>
        <charset val="134"/>
      </rPr>
      <t>要求</t>
    </r>
    <r>
      <rPr>
        <sz val="10"/>
        <color rgb="FF000000"/>
        <rFont val="微软雅黑"/>
        <charset val="134"/>
      </rPr>
      <t xml:space="preserve">
【市场给出】</t>
    </r>
  </si>
  <si>
    <r>
      <rPr>
        <b/>
        <sz val="10"/>
        <color rgb="FF000000"/>
        <rFont val="微软雅黑"/>
        <charset val="134"/>
      </rPr>
      <t>示例图</t>
    </r>
    <r>
      <rPr>
        <sz val="10"/>
        <color rgb="FF000000"/>
        <rFont val="微软雅黑"/>
        <charset val="134"/>
      </rPr>
      <t xml:space="preserve">
【市场提供】</t>
    </r>
  </si>
  <si>
    <r>
      <rPr>
        <b/>
        <sz val="10"/>
        <color rgb="FF000000"/>
        <rFont val="等线"/>
        <charset val="134"/>
      </rPr>
      <t>要求</t>
    </r>
    <r>
      <rPr>
        <sz val="10"/>
        <color rgb="FF000000"/>
        <rFont val="等线"/>
        <charset val="134"/>
      </rPr>
      <t xml:space="preserve">
【市场给出】</t>
    </r>
  </si>
  <si>
    <r>
      <rPr>
        <b/>
        <sz val="10"/>
        <color rgb="FF000000"/>
        <rFont val="等线"/>
        <charset val="134"/>
      </rPr>
      <t>示例图（模板）</t>
    </r>
    <r>
      <rPr>
        <sz val="10"/>
        <color rgb="FF000000"/>
        <rFont val="等线"/>
        <charset val="134"/>
      </rPr>
      <t xml:space="preserve">
【市场给出】</t>
    </r>
  </si>
  <si>
    <r>
      <rPr>
        <b/>
        <sz val="10"/>
        <color rgb="FF000000"/>
        <rFont val="等线"/>
        <charset val="134"/>
      </rPr>
      <t>示例图（实图）</t>
    </r>
    <r>
      <rPr>
        <sz val="10"/>
        <color rgb="FF000000"/>
        <rFont val="等线"/>
        <charset val="134"/>
      </rPr>
      <t xml:space="preserve">
【生产提供】</t>
    </r>
  </si>
  <si>
    <t>Lime</t>
  </si>
  <si>
    <t>修补件</t>
  </si>
  <si>
    <t>LE18</t>
  </si>
  <si>
    <r>
      <rPr>
        <b/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①市场：输出装箱单文件
②PMC：回填装箱单文件
③品质：提供品质报告给市场
④客户：确认品质报告，释放出货指令
⑤市场：安排出货
</t>
    </r>
    <r>
      <rPr>
        <b/>
        <sz val="10"/>
        <color rgb="FF000000"/>
        <rFont val="等线"/>
        <charset val="134"/>
      </rPr>
      <t>【注意事项】：</t>
    </r>
    <r>
      <rPr>
        <sz val="10"/>
        <color rgb="FF000000"/>
        <rFont val="等线"/>
        <charset val="134"/>
      </rPr>
      <t xml:space="preserve">
①</t>
    </r>
  </si>
  <si>
    <t>迪太模板</t>
  </si>
  <si>
    <t>按市场通知即可</t>
  </si>
  <si>
    <t>客户指定</t>
  </si>
  <si>
    <r>
      <rPr>
        <u/>
        <sz val="9"/>
        <color rgb="FF175CEB"/>
        <rFont val="等线"/>
        <charset val="134"/>
      </rPr>
      <t>Supplier Compliance Manual (SCM)</t>
    </r>
  </si>
  <si>
    <t>发货前上传</t>
  </si>
  <si>
    <t>LE18U</t>
  </si>
  <si>
    <t>LC28</t>
  </si>
  <si>
    <t>Sparrow</t>
  </si>
  <si>
    <t>Sparrow2-A(7161芯片)</t>
  </si>
  <si>
    <t>Sparrow3-A(7160芯片)</t>
  </si>
  <si>
    <t>乐骑&amp;珠海乐骑</t>
  </si>
  <si>
    <t>大货</t>
  </si>
  <si>
    <t>4 lite
(小米项目)</t>
  </si>
  <si>
    <t>Xlite/Xlite/20</t>
  </si>
  <si>
    <r>
      <rPr>
        <b/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①市场：每批次发货，提供【送货单】文件给生产；
②工厂：根据【箱唛模板】，完善【箱唛】信息，打印贴标
</t>
    </r>
    <r>
      <rPr>
        <sz val="10"/>
        <color rgb="FFFF0000"/>
        <rFont val="等线"/>
        <charset val="134"/>
      </rPr>
      <t>【注意事项】：</t>
    </r>
    <r>
      <rPr>
        <sz val="10"/>
        <color rgb="FF000000"/>
        <rFont val="等线"/>
        <charset val="134"/>
      </rPr>
      <t xml:space="preserve">
①箱唛：禁止体现”迪太“相关字样</t>
    </r>
  </si>
  <si>
    <t>迪太通用</t>
  </si>
  <si>
    <t>NA</t>
  </si>
  <si>
    <t>Elite
(小米项目)</t>
  </si>
  <si>
    <t>Elite</t>
  </si>
  <si>
    <t>5 plus
(小米项目)</t>
  </si>
  <si>
    <t>5 plus</t>
  </si>
  <si>
    <t>A5/A6/A8/A9A11</t>
  </si>
  <si>
    <t>BC280SJH45,BC280ECUJH2</t>
  </si>
  <si>
    <r>
      <rPr>
        <b/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
②
③
</t>
    </r>
    <r>
      <rPr>
        <b/>
        <sz val="10"/>
        <color rgb="FF000000"/>
        <rFont val="等线"/>
        <charset val="134"/>
      </rPr>
      <t>【注意事项】：</t>
    </r>
    <r>
      <rPr>
        <sz val="10"/>
        <color rgb="FF000000"/>
        <rFont val="等线"/>
        <charset val="134"/>
      </rPr>
      <t xml:space="preserve">
①</t>
    </r>
  </si>
  <si>
    <t>BC281</t>
  </si>
  <si>
    <t>BC201SJH3~JH4</t>
  </si>
  <si>
    <t>BC147</t>
  </si>
  <si>
    <t>BC147ECUJH1,BC147SJH3</t>
  </si>
  <si>
    <t>BC280SJH1,JH3~JH6,JH8~JH12，JH18~JH31,JH37</t>
  </si>
  <si>
    <r>
      <rPr>
        <b/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①客户：提供唛头及标贴信息要求文件；
②市场：发货前一天提供唛头及标贴文件给至生产；
③生产：根据市场提供的唛头文件进行贴标；
</t>
    </r>
    <r>
      <rPr>
        <b/>
        <sz val="10"/>
        <color rgb="FF000000"/>
        <rFont val="等线"/>
        <charset val="134"/>
      </rPr>
      <t>【注意事项】：</t>
    </r>
    <r>
      <rPr>
        <sz val="10"/>
        <color rgb="FF000000"/>
        <rFont val="等线"/>
        <charset val="134"/>
      </rPr>
      <t xml:space="preserve">
①</t>
    </r>
  </si>
  <si>
    <t>通用刀卡</t>
  </si>
  <si>
    <r>
      <rPr>
        <b/>
        <sz val="10"/>
        <color rgb="FF000000"/>
        <rFont val="等线"/>
        <charset val="134"/>
      </rPr>
      <t>银三环&amp;腾风</t>
    </r>
    <r>
      <rPr>
        <b/>
        <sz val="10"/>
        <color rgb="FF000000"/>
        <rFont val="等线"/>
        <charset val="134"/>
      </rPr>
      <t xml:space="preserve">
（十方）</t>
    </r>
  </si>
  <si>
    <t xml:space="preserve">BC351S-AGOT， BC351S-CARGO,BC351STF
</t>
  </si>
  <si>
    <t>实际按市场通知即可</t>
  </si>
  <si>
    <t>BC201S-AGOX</t>
  </si>
  <si>
    <t>BC240</t>
  </si>
  <si>
    <t>BC112</t>
  </si>
  <si>
    <t>客户指定,迪太模板</t>
  </si>
  <si>
    <t>有指定文件使用客户指定文件，无指定要求按照迪太模板执行</t>
  </si>
  <si>
    <t>按键</t>
  </si>
  <si>
    <t>DTK3 DTK5</t>
  </si>
  <si>
    <t>唯乐高</t>
  </si>
  <si>
    <t>L182EVL1-A</t>
  </si>
  <si>
    <t>BC182-ST1</t>
  </si>
  <si>
    <t>BC281-S1</t>
  </si>
  <si>
    <t>L300</t>
  </si>
  <si>
    <t>L300-VL1-8</t>
  </si>
  <si>
    <t>L300-无按键</t>
  </si>
  <si>
    <t>唯乐高DTK3指纹按键</t>
  </si>
  <si>
    <t>高标</t>
  </si>
  <si>
    <r>
      <rPr>
        <b/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
</t>
    </r>
    <r>
      <rPr>
        <b/>
        <sz val="10"/>
        <color rgb="FF000000"/>
        <rFont val="等线"/>
        <charset val="134"/>
      </rPr>
      <t>【注意事项】：</t>
    </r>
    <r>
      <rPr>
        <sz val="10"/>
        <color rgb="FF000000"/>
        <rFont val="等线"/>
        <charset val="134"/>
      </rPr>
      <t xml:space="preserve">
①</t>
    </r>
  </si>
  <si>
    <t>Citra
（Lime产品）</t>
  </si>
  <si>
    <t>EH001&amp;EH002</t>
  </si>
  <si>
    <t>喜德盛</t>
  </si>
  <si>
    <t>LE18
（Lime产品）</t>
  </si>
  <si>
    <t>Sparrow
（Lime产品）</t>
  </si>
  <si>
    <t>洪邦（Bigo）</t>
  </si>
  <si>
    <t>3KM</t>
  </si>
  <si>
    <t>箱唛需要包含软件版本</t>
  </si>
  <si>
    <t>金棒（Bigo）</t>
  </si>
  <si>
    <t>BC300</t>
  </si>
  <si>
    <t>BC300S-DTK7</t>
  </si>
  <si>
    <t>BC550</t>
  </si>
  <si>
    <t>BC550S-K70</t>
  </si>
  <si>
    <t>L401E/L401S</t>
  </si>
  <si>
    <t>L182
（唯乐高产品）</t>
  </si>
  <si>
    <t>L182EVL1</t>
  </si>
  <si>
    <t>L182S/L182E</t>
  </si>
  <si>
    <t>嘿佰客</t>
  </si>
  <si>
    <t>BC201SHBK1-A~2-A
BC201SHBK3-A~6-A</t>
  </si>
  <si>
    <r>
      <rPr>
        <sz val="10"/>
        <color rgb="FF000000"/>
        <rFont val="等线"/>
        <charset val="134"/>
      </rPr>
      <t>【发货流程】：</t>
    </r>
    <r>
      <rPr>
        <sz val="10"/>
        <color rgb="FF000000"/>
        <rFont val="等线"/>
        <charset val="134"/>
      </rPr>
      <t xml:space="preserve">
①</t>
    </r>
    <r>
      <rPr>
        <sz val="10"/>
        <color rgb="FF000000"/>
        <rFont val="等线"/>
        <charset val="134"/>
      </rPr>
      <t xml:space="preserve">
【注意事项】：</t>
    </r>
    <r>
      <rPr>
        <sz val="10"/>
        <color rgb="FF000000"/>
        <rFont val="等线"/>
        <charset val="134"/>
      </rPr>
      <t xml:space="preserve">
①标签SN：需严格按照客户提供的SN数据范围打印，每批订单的SN数据从“车型对应关系表”中获取（仅涉及接HBK</t>
    </r>
    <r>
      <rPr>
        <sz val="10"/>
        <color rgb="FF000000"/>
        <rFont val="等线"/>
        <charset val="134"/>
      </rPr>
      <t xml:space="preserve"> APP的订单才需求）；</t>
    </r>
    <r>
      <rPr>
        <u/>
        <sz val="10"/>
        <color rgb="FF175CEB"/>
        <rFont val="等线"/>
        <charset val="134"/>
      </rPr>
      <t xml:space="preserve">
【迪太仪表】与【HBK车型】型号对应关系表 V0.4</t>
    </r>
  </si>
  <si>
    <t>BC300SHBK1-A</t>
  </si>
  <si>
    <t>L183</t>
  </si>
  <si>
    <t>L183SHBK2-A
L183SHBK2-B</t>
  </si>
  <si>
    <t>Miloo</t>
  </si>
  <si>
    <t>Ballendat</t>
  </si>
  <si>
    <t>贴标签注意事项:
1. 在贴标签前，请注意清洁外壳表面，确保外壳表面无油污。可以用一些清除油污的清洁产品。
2. 标签贴在标签框的正中间，无偏移，不歪斜。
3. 外壳的方向要安装正确，同上批订单。确保产品标签在包装盒内完全可见。
4. 请先贴一个样品给客户确认OK后，再继续完成大货的贴标签工作。
包装注意事项：
1. 打托。用客供托板。
2. 打好托后，用塑料薄膜裹住所有纸箱。
3. 纸箱四周加上一圈纸板护角。一定要注意护角。
4. 用打包带纵横各2道固定整个托板。
5. 出货的时候确保所有的客供纸箱上没有任何标签（不能有任何来自工厂的标签，也不能有任何来自国内快递公司的标签），不能有任何手写的字符等标记。
6. 出货前请拍照确认。
7.出货前卡板可能需要粘贴必要文字，实际已通知为准</t>
  </si>
  <si>
    <t>无箱唛</t>
  </si>
  <si>
    <t xml:space="preserve">
禁止粘贴标签</t>
  </si>
  <si>
    <t xml:space="preserve">
1). 在生产完成后，包装开始前，请把完整的产品拍照给我们确认（如有标签，标签也需要贴好）。
2). 每个产品都请拍出正面和背面各一张图片。
3). 如有多个产品，请一一拍照发出并标明所对应的产品。
照片确认无误后，方可进入包装的工序。</t>
  </si>
  <si>
    <t>路尚</t>
  </si>
  <si>
    <t>BC352</t>
  </si>
  <si>
    <t>宝岛</t>
  </si>
  <si>
    <t>L182EBD2-B（27.5寸轮径）</t>
  </si>
  <si>
    <t>迪太通用,客户指定</t>
  </si>
  <si>
    <t>L182EBD1-A</t>
  </si>
  <si>
    <t>L182EBD1-B（27.5寸轮径）</t>
  </si>
  <si>
    <t>比腾尼</t>
  </si>
  <si>
    <t>BC182S</t>
  </si>
  <si>
    <t>BC281S</t>
  </si>
  <si>
    <t>L182E</t>
  </si>
  <si>
    <t>泛舟</t>
  </si>
  <si>
    <t>L200</t>
  </si>
  <si>
    <t>L200S/L200E</t>
  </si>
  <si>
    <t>诺迪亚</t>
  </si>
  <si>
    <t>BC281SNDY1-A</t>
  </si>
  <si>
    <t>BC182SNDY1-A</t>
  </si>
  <si>
    <t>乔博</t>
  </si>
  <si>
    <t>L183SQB1-B/L183SQB1-A</t>
  </si>
  <si>
    <t>BC281SW-K3仪表</t>
  </si>
  <si>
    <t>BC280PROSW-K3仪表</t>
  </si>
  <si>
    <t>英格威</t>
  </si>
  <si>
    <t>金轮</t>
  </si>
  <si>
    <t>L200EJL1-A/1-B</t>
  </si>
  <si>
    <t>悦驰</t>
  </si>
  <si>
    <t>BN100</t>
  </si>
  <si>
    <t>BN100SYC1-A</t>
  </si>
  <si>
    <t>友联骑</t>
  </si>
  <si>
    <t>BC182EYLQ1-A</t>
  </si>
  <si>
    <t>艾轮</t>
  </si>
  <si>
    <t>BC351SAL1-A/2-A</t>
  </si>
  <si>
    <t>BC301</t>
  </si>
  <si>
    <t>BC301SAL1-A/1-B</t>
  </si>
  <si>
    <t>BC302</t>
  </si>
  <si>
    <t>BC302SAL1-A</t>
  </si>
  <si>
    <t>迪太模板，一式2张（外箱+内箱各贴1张）</t>
  </si>
  <si>
    <t>绅宝</t>
  </si>
  <si>
    <t>L300ESB1-A</t>
  </si>
  <si>
    <t>斯米诺</t>
  </si>
  <si>
    <t>BC281SMOD</t>
  </si>
  <si>
    <t>按以往大货出货标准执行
（胶圈尺寸如有特殊要求市场另外通知）</t>
  </si>
  <si>
    <t>宝华(N+)</t>
  </si>
  <si>
    <t>以市场实际通知为准</t>
  </si>
  <si>
    <t>附加按照工程此前提供的配件清单执行</t>
  </si>
  <si>
    <t>天腾</t>
  </si>
  <si>
    <t>CS505X_DS505X
（基于迪太L401）</t>
  </si>
  <si>
    <t>CS5050A/CS5050B/CS5050C</t>
  </si>
  <si>
    <t>DS5050A/DS5050B/DS5050C</t>
  </si>
  <si>
    <t>CS82X_DS82X
（基于迪太BC281）</t>
  </si>
  <si>
    <t>CS8020A/CS8020B/CS8020C</t>
  </si>
  <si>
    <t>DS8020A/DS8020B/DS8020C</t>
  </si>
  <si>
    <t>CS820A/CS820B/CS820C</t>
  </si>
  <si>
    <t>CS8020BE01</t>
  </si>
  <si>
    <t>【BOM专员】填</t>
  </si>
  <si>
    <r>
      <rPr>
        <b/>
        <sz val="9"/>
        <color rgb="FFDE3C36"/>
        <rFont val="等线"/>
        <charset val="134"/>
      </rPr>
      <t>交期锁定规则：</t>
    </r>
    <r>
      <rPr>
        <sz val="9"/>
        <color rgb="FF2972F4"/>
        <rFont val="等线"/>
        <charset val="134"/>
      </rPr>
      <t xml:space="preserve">
蓝底交期：</t>
    </r>
    <r>
      <rPr>
        <sz val="9"/>
        <color rgb="FF000000"/>
        <rFont val="等线"/>
        <charset val="134"/>
      </rPr>
      <t xml:space="preserve">本周计划订单锁定（第30周：7.20~7.26）
</t>
    </r>
    <r>
      <rPr>
        <sz val="9"/>
        <color rgb="FFFFC000"/>
        <rFont val="等线"/>
        <charset val="134"/>
      </rPr>
      <t>橙底交期：</t>
    </r>
    <r>
      <rPr>
        <sz val="9"/>
        <color rgb="FF000000"/>
        <rFont val="等线"/>
        <charset val="134"/>
      </rPr>
      <t xml:space="preserve">下周计划订单锁定（第31周：7.27~8.2）
白底交期：未锁定订单，市场可调整交期
</t>
    </r>
    <r>
      <rPr>
        <sz val="9"/>
        <color rgb="FFFF0000"/>
        <rFont val="等线"/>
        <charset val="134"/>
      </rPr>
      <t>红底交期</t>
    </r>
    <r>
      <rPr>
        <sz val="9"/>
        <color rgb="FF000000"/>
        <rFont val="等线"/>
        <charset val="134"/>
      </rPr>
      <t>：市场已作变更的交期</t>
    </r>
    <r>
      <rPr>
        <sz val="9"/>
        <color rgb="FFFF0000"/>
        <rFont val="等线"/>
        <charset val="134"/>
      </rPr>
      <t>【与PMC达成共识后，再改为对应交期底色】</t>
    </r>
    <r>
      <rPr>
        <sz val="9"/>
        <color rgb="FF00B050"/>
        <rFont val="等线"/>
        <charset val="134"/>
      </rPr>
      <t xml:space="preserve">
绿底交期：</t>
    </r>
    <r>
      <rPr>
        <sz val="9"/>
        <color rgb="FF000000"/>
        <rFont val="等线"/>
        <charset val="134"/>
      </rPr>
      <t>为已做好的订单，等市场通知出货</t>
    </r>
  </si>
  <si>
    <r>
      <rPr>
        <b/>
        <sz val="9"/>
        <color rgb="FFFF0000"/>
        <rFont val="等线"/>
        <charset val="134"/>
      </rPr>
      <t>BC280无丝印膜：</t>
    </r>
    <r>
      <rPr>
        <b/>
        <sz val="9"/>
        <color rgb="FF000000"/>
        <rFont val="等线"/>
        <charset val="134"/>
      </rPr>
      <t>结合4/19现有订单，留点损耗+OEM订单留个200片即可。</t>
    </r>
    <r>
      <rPr>
        <b/>
        <sz val="9"/>
        <color rgb="FFFF0000"/>
        <rFont val="等线"/>
        <charset val="134"/>
      </rPr>
      <t xml:space="preserve">
BC147无丝印膜：</t>
    </r>
    <r>
      <rPr>
        <b/>
        <sz val="9"/>
        <color rgb="FF000000"/>
        <rFont val="等线"/>
        <charset val="134"/>
      </rPr>
      <t>结合4/19现有订单，留点损耗即可。</t>
    </r>
  </si>
  <si>
    <r>
      <rPr>
        <b/>
        <sz val="9"/>
        <color rgb="FF000000"/>
        <rFont val="等线"/>
        <charset val="134"/>
      </rPr>
      <t>PC外壳做货周期:15·20天</t>
    </r>
    <r>
      <rPr>
        <b/>
        <sz val="9"/>
        <color rgb="FF000000"/>
        <rFont val="等线"/>
        <charset val="134"/>
      </rPr>
      <t xml:space="preserve">
尼龙外壳做货周期：30天</t>
    </r>
    <r>
      <rPr>
        <sz val="9"/>
        <color rgb="FF000000"/>
        <rFont val="等线"/>
        <charset val="134"/>
      </rPr>
      <t xml:space="preserve">
截止7/3：PC下壳库存+在制：共3724，其中：
①PC成品：2491+866=3357pcs
②PC壳料：库存367pcs</t>
    </r>
  </si>
  <si>
    <t>客户名称</t>
  </si>
  <si>
    <t>U8是否可用</t>
  </si>
  <si>
    <t xml:space="preserve"> U8单号</t>
  </si>
  <si>
    <t>BOM编码</t>
  </si>
  <si>
    <t>E树BOM刷新前</t>
  </si>
  <si>
    <t>E树BOM刷新后</t>
  </si>
  <si>
    <t>E树BOM是否审核</t>
  </si>
  <si>
    <t>配置型号</t>
  </si>
  <si>
    <t>按键型号</t>
  </si>
  <si>
    <t>客户订单号</t>
  </si>
  <si>
    <t>E树订单号</t>
  </si>
  <si>
    <t>E树单据日期</t>
  </si>
  <si>
    <t>订单数量</t>
  </si>
  <si>
    <t>已发货量</t>
  </si>
  <si>
    <t>未发货量</t>
  </si>
  <si>
    <t>交货日期</t>
  </si>
  <si>
    <t>软件程序状态</t>
  </si>
  <si>
    <t>交期变更履历&amp;特殊标注</t>
  </si>
  <si>
    <t>客供物料情况</t>
  </si>
  <si>
    <r>
      <rPr>
        <b/>
        <sz val="10"/>
        <color rgb="FF000000"/>
        <rFont val="等线"/>
        <charset val="134"/>
      </rPr>
      <t>JH二维码膜导入情况</t>
    </r>
    <r>
      <rPr>
        <b/>
        <sz val="10"/>
        <color rgb="FF000000"/>
        <rFont val="等线"/>
        <charset val="134"/>
      </rPr>
      <t xml:space="preserve">
【6/19：PMC统计】</t>
    </r>
  </si>
  <si>
    <r>
      <rPr>
        <b/>
        <sz val="10"/>
        <color rgb="FF000000"/>
        <rFont val="等线"/>
        <charset val="134"/>
      </rPr>
      <t>BC147JH 尼龙下壳导入情况</t>
    </r>
    <r>
      <rPr>
        <b/>
        <sz val="10"/>
        <color rgb="FF000000"/>
        <rFont val="等线"/>
        <charset val="134"/>
      </rPr>
      <t xml:space="preserve">
【7/3：PMC统计】</t>
    </r>
  </si>
  <si>
    <r>
      <rPr>
        <b/>
        <sz val="10"/>
        <color rgb="FF000000"/>
        <rFont val="等线"/>
        <charset val="134"/>
      </rPr>
      <t>生产情况</t>
    </r>
    <r>
      <rPr>
        <b/>
        <sz val="10"/>
        <color rgb="FF000000"/>
        <rFont val="等线"/>
        <charset val="134"/>
      </rPr>
      <t xml:space="preserve">
【7/14：PMC统计】</t>
    </r>
  </si>
  <si>
    <t>生产版本</t>
  </si>
  <si>
    <t>明细备注</t>
  </si>
  <si>
    <r>
      <rPr>
        <b/>
        <sz val="10"/>
        <color rgb="FFC00000"/>
        <rFont val="等线"/>
        <charset val="134"/>
      </rPr>
      <t>订单已耗时</t>
    </r>
    <r>
      <rPr>
        <b/>
        <sz val="10"/>
        <color rgb="FFC00000"/>
        <rFont val="等线"/>
        <charset val="134"/>
      </rPr>
      <t xml:space="preserve">
（天）</t>
    </r>
  </si>
  <si>
    <t>客供物料</t>
  </si>
  <si>
    <t>到料时间</t>
  </si>
  <si>
    <t>APP</t>
  </si>
  <si>
    <t>UI</t>
  </si>
  <si>
    <t>√</t>
  </si>
  <si>
    <t>61400144-B-00002</t>
  </si>
  <si>
    <t>之前订单，未进行订单BOM评审</t>
  </si>
  <si>
    <t>POORD2021111819674</t>
  </si>
  <si>
    <t>SO211200008</t>
  </si>
  <si>
    <t>POORD2021111819674 修补件</t>
  </si>
  <si>
    <t>天轴</t>
  </si>
  <si>
    <t>SO2023070018</t>
  </si>
  <si>
    <t>61400164-C-00028</t>
  </si>
  <si>
    <t>BC281ETZ2</t>
  </si>
  <si>
    <t>YZ23683</t>
  </si>
  <si>
    <t>SO230600063</t>
  </si>
  <si>
    <t>SO2023070083</t>
  </si>
  <si>
    <t>61400164-C-00030</t>
  </si>
  <si>
    <t>61400164-C-00027</t>
  </si>
  <si>
    <t>61400164-C-00031</t>
  </si>
  <si>
    <t>BC281E-X20-EU</t>
  </si>
  <si>
    <t>DTK5</t>
  </si>
  <si>
    <t>DTKJ20230712</t>
  </si>
  <si>
    <t>SO230700040</t>
  </si>
  <si>
    <t>客户-TBD</t>
  </si>
  <si>
    <r>
      <rPr>
        <sz val="10"/>
        <color rgb="FF000000"/>
        <rFont val="等线"/>
        <charset val="134"/>
      </rPr>
      <t xml:space="preserve">老订单，系统已结单
6/4接客户新订单5pcs， 消耗旧订单数量，不需要重新生产
</t>
    </r>
    <r>
      <rPr>
        <sz val="10"/>
        <color rgb="FFFF0000"/>
        <rFont val="等线"/>
        <charset val="134"/>
      </rPr>
      <t>3/5：接客户通知，出货200pcs，交期5/25</t>
    </r>
    <r>
      <rPr>
        <sz val="10"/>
        <color rgb="FF000000"/>
        <rFont val="等线"/>
        <charset val="134"/>
      </rPr>
      <t xml:space="preserve">
10/15：接英格威通知出货170pcs
5/15：交期提前至5/17【（旧单返工出货500pcs）
5/13：接客户通知，500pcs交期延至5/22</t>
    </r>
  </si>
  <si>
    <t>/</t>
  </si>
  <si>
    <t>BC281E-X24-EU</t>
  </si>
  <si>
    <t>DTKJ20230713</t>
  </si>
  <si>
    <r>
      <rPr>
        <sz val="10"/>
        <color rgb="FF000000"/>
        <rFont val="等线"/>
        <charset val="134"/>
      </rPr>
      <t xml:space="preserve">老订单，系统已结单
</t>
    </r>
    <r>
      <rPr>
        <sz val="10"/>
        <color rgb="FFFF0000"/>
        <rFont val="等线"/>
        <charset val="134"/>
      </rPr>
      <t>3/5：接客户通知，出货200pcs，交期5/25</t>
    </r>
    <r>
      <rPr>
        <sz val="10"/>
        <color rgb="FF000000"/>
        <rFont val="等线"/>
        <charset val="134"/>
      </rPr>
      <t xml:space="preserve">
10/23发60pcs--唐鼎贵 13243764685 深圳市龙岗区坂田街道岗头社区金鸿德电商产业园C栋4楼
9/9调整【延期】：原交期9/9/ 修改为9/12
9/9：出130台（</t>
    </r>
    <r>
      <rPr>
        <sz val="10"/>
        <color rgb="FFFF0000"/>
        <rFont val="等线"/>
        <charset val="134"/>
      </rPr>
      <t>130欧规</t>
    </r>
    <r>
      <rPr>
        <sz val="10"/>
        <color rgb="FF000000"/>
        <rFont val="等线"/>
        <charset val="134"/>
      </rPr>
      <t>）
8/9收货地址：广东省东莞市塘厦镇平山工业大路105号101室东莞镁迪电子有限公司仓库 黎培桥13713573451
7/3：接客户通知，8/9出货200pcs</t>
    </r>
  </si>
  <si>
    <t>SO2023120042</t>
  </si>
  <si>
    <t>61400183-A</t>
  </si>
  <si>
    <t>以前下过订单</t>
  </si>
  <si>
    <t>H421-2312080005（防水测试件）</t>
  </si>
  <si>
    <t>SO231200041</t>
  </si>
  <si>
    <t>7/13出9pcs，暂借给鸿霖收线用。</t>
  </si>
  <si>
    <t>软件版本：V0.1.11</t>
  </si>
  <si>
    <t>乐行天下（款到发货）</t>
  </si>
  <si>
    <t>SO2024010106</t>
  </si>
  <si>
    <t>61500038-D-00024</t>
  </si>
  <si>
    <t>做过大货订单</t>
  </si>
  <si>
    <t>DTK3</t>
  </si>
  <si>
    <t>WW1232</t>
  </si>
  <si>
    <t>SO240100062</t>
  </si>
  <si>
    <t>6/21：欠线，订单暂挂起，待客户补线后再启动
5/30：调整【延后】由5/14 改为6/20</t>
  </si>
  <si>
    <t>按键线</t>
  </si>
  <si>
    <t>已做好成品</t>
  </si>
  <si>
    <t>61500005-E-00007</t>
  </si>
  <si>
    <t>LIME（柠创）</t>
  </si>
  <si>
    <t>SO2024040143</t>
  </si>
  <si>
    <t>61400238-2</t>
  </si>
  <si>
    <t>LIME测试单</t>
  </si>
  <si>
    <t>SO240400032</t>
  </si>
  <si>
    <t>已确认释放</t>
  </si>
  <si>
    <t>等通知出货，订单暂挂起
5/8：【受胶水影响】：交期改为5/11
原交期4/15已出4pcs，现修改为4/24</t>
  </si>
  <si>
    <t>SO2024040122</t>
  </si>
  <si>
    <t>61400125-D</t>
  </si>
  <si>
    <t>Citra-Share-18</t>
  </si>
  <si>
    <t>H421-2404180051防水测试件</t>
  </si>
  <si>
    <t>SO240400050</t>
  </si>
  <si>
    <r>
      <rPr>
        <sz val="10"/>
        <color rgb="FF000000"/>
        <rFont val="等线"/>
        <charset val="134"/>
      </rPr>
      <t>6/6调整：</t>
    </r>
    <r>
      <rPr>
        <sz val="10"/>
        <color rgb="FFFF0000"/>
        <rFont val="等线"/>
        <charset val="134"/>
      </rPr>
      <t>6/7出1pcs，</t>
    </r>
    <r>
      <rPr>
        <sz val="10"/>
        <color rgb="FF000000"/>
        <rFont val="等线"/>
        <charset val="134"/>
      </rPr>
      <t>剩下的等鸿霖排程，预计6/13左右
5/30调整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：由5/25 改为6/4</t>
    </r>
  </si>
  <si>
    <r>
      <rPr>
        <b/>
        <sz val="10"/>
        <color rgb="FFFF0000"/>
        <rFont val="等线"/>
        <charset val="134"/>
      </rPr>
      <t>4/29版本释放：</t>
    </r>
    <r>
      <rPr>
        <sz val="10"/>
        <color rgb="FF000000"/>
        <rFont val="等线"/>
        <charset val="134"/>
      </rPr>
      <t xml:space="preserve">
仪表固件版本:S_LCM_FW_APP_DT2_V2.0_0.1.13
仪表硬件版本:S_LCM_HW_DT1_V2.0_0.0.2  
</t>
    </r>
  </si>
  <si>
    <t>SO2024040142</t>
  </si>
  <si>
    <t>目前在试产</t>
  </si>
  <si>
    <t>LIME测试单-2</t>
  </si>
  <si>
    <t>SO240400066</t>
  </si>
  <si>
    <t>等通知出货，订单暂挂起
5/8：【受胶水影响】：交期改为5/11
4/26:交期改为5/4</t>
  </si>
  <si>
    <t>SO2024100091</t>
  </si>
  <si>
    <t>61400238-A-00006</t>
  </si>
  <si>
    <t>Sparrow2-A/7161芯片</t>
  </si>
  <si>
    <t>LIME需求</t>
  </si>
  <si>
    <t>E树SO241000070</t>
  </si>
  <si>
    <t>11/14发1pcs：深圳市宝安区燕罗街道燕川社区燕湖路62号办公楼101 汤乐 13114340830 
11/10 lisa从工厂带走3pcs；
11/12 再出20台到昆山LIIME，张哥提供地址；
其余的全部做好先入库，待LIME有需要了再出；
11/6 再出4台给lisa带走封样</t>
  </si>
  <si>
    <t>LCM FW version: X_LCM_FW_APP_DT_5.0_3.1.20
LCM HW version: X_LCM_HW_APP_DT_5.0_0.0.6</t>
  </si>
  <si>
    <t>帅玺轮</t>
  </si>
  <si>
    <t>SO2024110102</t>
  </si>
  <si>
    <t>61400252-A-00001</t>
  </si>
  <si>
    <t>BC110ESXL1-A</t>
  </si>
  <si>
    <t>K30</t>
  </si>
  <si>
    <t>客诉修补</t>
  </si>
  <si>
    <t>E树SO241100094</t>
  </si>
  <si>
    <t>1/20发货200pcs
12/23调整【延后】：原交期12/23 修改为12/25</t>
  </si>
  <si>
    <t>腾风</t>
  </si>
  <si>
    <t>SO2024120009</t>
  </si>
  <si>
    <t>61400226-A-00002</t>
  </si>
  <si>
    <t>CGDD2024-11-29000057</t>
  </si>
  <si>
    <t>E树SO241200002</t>
  </si>
  <si>
    <t>工厂已做好，先入库，发货等通知
1/2：延期至2/6</t>
  </si>
  <si>
    <t>BC280PROEQB1-A</t>
  </si>
  <si>
    <t>售后返工换标签</t>
  </si>
  <si>
    <t>等客户通知出货</t>
  </si>
  <si>
    <r>
      <rPr>
        <b/>
        <sz val="9"/>
        <color rgb="FFFF0000"/>
        <rFont val="Microsoft YaHei"/>
        <charset val="134"/>
      </rPr>
      <t xml:space="preserve">
【BOM专员】填</t>
    </r>
  </si>
  <si>
    <r>
      <rPr>
        <b/>
        <strike/>
        <sz val="10"/>
        <color rgb="FF00A3F5"/>
        <rFont val="Microsoft YaHei"/>
        <charset val="134"/>
      </rPr>
      <t xml:space="preserve">
【蓝底订单】：为嘉宏修补件订单</t>
    </r>
  </si>
  <si>
    <r>
      <rPr>
        <b/>
        <sz val="9"/>
        <color rgb="FFDE3C36"/>
        <rFont val="Microsoft YaHei"/>
        <charset val="134"/>
      </rPr>
      <t>交期锁定规则：</t>
    </r>
    <r>
      <rPr>
        <sz val="9"/>
        <color rgb="FF2972F4"/>
        <rFont val="Microsoft YaHei"/>
        <charset val="134"/>
      </rPr>
      <t xml:space="preserve">
蓝底交期：</t>
    </r>
    <r>
      <rPr>
        <sz val="9"/>
        <color rgb="FF000000"/>
        <rFont val="Microsoft YaHei"/>
        <charset val="134"/>
      </rPr>
      <t xml:space="preserve">本周计划订单锁定（第45周：11.2~11.8）
</t>
    </r>
    <r>
      <rPr>
        <sz val="9"/>
        <color rgb="FFFFC000"/>
        <rFont val="Microsoft YaHei"/>
        <charset val="134"/>
      </rPr>
      <t>橙底交期：</t>
    </r>
    <r>
      <rPr>
        <sz val="9"/>
        <color rgb="FF000000"/>
        <rFont val="Microsoft YaHei"/>
        <charset val="134"/>
      </rPr>
      <t xml:space="preserve">下周计划订单锁定（第46周：11.9~11.15）
白底交期：未锁定订单，市场可调整交期
</t>
    </r>
    <r>
      <rPr>
        <sz val="9"/>
        <color rgb="FFFF0000"/>
        <rFont val="Microsoft YaHei"/>
        <charset val="134"/>
      </rPr>
      <t>红底交期</t>
    </r>
    <r>
      <rPr>
        <sz val="9"/>
        <color rgb="FF000000"/>
        <rFont val="Microsoft YaHei"/>
        <charset val="134"/>
      </rPr>
      <t>：市场已作变更的交期</t>
    </r>
    <r>
      <rPr>
        <sz val="9"/>
        <color rgb="FFFF0000"/>
        <rFont val="Microsoft YaHei"/>
        <charset val="134"/>
      </rPr>
      <t>【与PMC达成共识后，再改为对应交期底色】</t>
    </r>
    <r>
      <rPr>
        <sz val="9"/>
        <color rgb="FF00B050"/>
        <rFont val="Microsoft YaHei"/>
        <charset val="134"/>
      </rPr>
      <t xml:space="preserve">
绿底交期：</t>
    </r>
    <r>
      <rPr>
        <sz val="9"/>
        <color rgb="FF000000"/>
        <rFont val="Microsoft YaHei"/>
        <charset val="134"/>
      </rPr>
      <t>为已做好的订单，等市场通知出货</t>
    </r>
  </si>
  <si>
    <r>
      <rPr>
        <b/>
        <sz val="9"/>
        <color rgb="FFFF0000"/>
        <rFont val="Microsoft YaHei"/>
        <charset val="134"/>
      </rPr>
      <t>BC280无丝印膜：</t>
    </r>
    <r>
      <rPr>
        <b/>
        <sz val="9"/>
        <color rgb="FF000000"/>
        <rFont val="Microsoft YaHei"/>
        <charset val="134"/>
      </rPr>
      <t>结合4/19现有订单，留点损耗+OEM订单留个200片即可。</t>
    </r>
    <r>
      <rPr>
        <b/>
        <sz val="9"/>
        <color rgb="FFFF0000"/>
        <rFont val="Microsoft YaHei"/>
        <charset val="134"/>
      </rPr>
      <t xml:space="preserve">
BC147无丝印膜：</t>
    </r>
    <r>
      <rPr>
        <b/>
        <sz val="9"/>
        <color rgb="FF000000"/>
        <rFont val="Microsoft YaHei"/>
        <charset val="134"/>
      </rPr>
      <t>结合4/19现有订单，留点损耗即可。</t>
    </r>
  </si>
  <si>
    <r>
      <rPr>
        <b/>
        <sz val="9"/>
        <color rgb="FF000000"/>
        <rFont val="Microsoft YaHei"/>
        <charset val="134"/>
      </rPr>
      <t>PC外壳做货周期:15·20天</t>
    </r>
    <r>
      <rPr>
        <b/>
        <sz val="9"/>
        <color rgb="FF000000"/>
        <rFont val="Microsoft YaHei"/>
        <charset val="134"/>
      </rPr>
      <t xml:space="preserve">
尼龙外壳做货周期：30天</t>
    </r>
    <r>
      <rPr>
        <sz val="9"/>
        <color rgb="FF000000"/>
        <rFont val="Microsoft YaHei"/>
        <charset val="134"/>
      </rPr>
      <t xml:space="preserve">
截止7/3：PC下壳库存+在制：共3724，其中：
①PC成品：2491+866=3357pcs
②PC壳料：库存367pcs</t>
    </r>
  </si>
  <si>
    <t>市场</t>
  </si>
  <si>
    <t>自动生成</t>
  </si>
  <si>
    <t>市场后填</t>
  </si>
  <si>
    <t>BOM专员</t>
  </si>
  <si>
    <t>同步发货数据</t>
  </si>
  <si>
    <t>PMC填写</t>
  </si>
  <si>
    <t>变更日志，系统记录</t>
  </si>
  <si>
    <t>单独备注</t>
  </si>
  <si>
    <t>自动计算</t>
  </si>
  <si>
    <t>上单时间</t>
  </si>
  <si>
    <t>交货计划</t>
  </si>
  <si>
    <r>
      <rPr>
        <b/>
        <sz val="10"/>
        <color rgb="FFFF0000"/>
        <rFont val="Microsoft YaHei"/>
        <charset val="134"/>
      </rPr>
      <t>生产可达成交期</t>
    </r>
    <r>
      <rPr>
        <b/>
        <sz val="10"/>
        <color rgb="FFFF0000"/>
        <rFont val="Microsoft YaHei"/>
        <charset val="134"/>
      </rPr>
      <t xml:space="preserve">
【PMC】</t>
    </r>
  </si>
  <si>
    <r>
      <rPr>
        <b/>
        <sz val="10"/>
        <color rgb="FF000000"/>
        <rFont val="Microsoft YaHei"/>
        <charset val="134"/>
      </rPr>
      <t>JH二维码膜导入情况</t>
    </r>
    <r>
      <rPr>
        <b/>
        <sz val="10"/>
        <color rgb="FF000000"/>
        <rFont val="Microsoft YaHei"/>
        <charset val="134"/>
      </rPr>
      <t xml:space="preserve">
【9/28：PMC统计】</t>
    </r>
  </si>
  <si>
    <r>
      <rPr>
        <b/>
        <sz val="10"/>
        <color rgb="FF000000"/>
        <rFont val="Microsoft YaHei"/>
        <charset val="134"/>
      </rPr>
      <t>BC147JH 尼龙下壳导入情况</t>
    </r>
    <r>
      <rPr>
        <b/>
        <sz val="10"/>
        <color rgb="FF000000"/>
        <rFont val="Microsoft YaHei"/>
        <charset val="134"/>
      </rPr>
      <t xml:space="preserve">
【7/3：PMC统计】</t>
    </r>
  </si>
  <si>
    <t>生产情况</t>
  </si>
  <si>
    <t>特殊备注</t>
  </si>
  <si>
    <r>
      <rPr>
        <b/>
        <sz val="10"/>
        <color rgb="FFC00000"/>
        <rFont val="Microsoft YaHei"/>
        <charset val="134"/>
      </rPr>
      <t>订单已耗时</t>
    </r>
    <r>
      <rPr>
        <b/>
        <sz val="10"/>
        <color rgb="FFC00000"/>
        <rFont val="Microsoft YaHei"/>
        <charset val="134"/>
      </rPr>
      <t xml:space="preserve">
（天）</t>
    </r>
  </si>
  <si>
    <r>
      <rPr>
        <b/>
        <sz val="10"/>
        <color rgb="FFC00000"/>
        <rFont val="Microsoft YaHei"/>
        <charset val="134"/>
      </rPr>
      <t>订单</t>
    </r>
    <r>
      <rPr>
        <b/>
        <sz val="10"/>
        <color rgb="FFC00000"/>
        <rFont val="Microsoft YaHei"/>
        <charset val="134"/>
      </rPr>
      <t xml:space="preserve">
是否已回签</t>
    </r>
  </si>
  <si>
    <t>客供料</t>
  </si>
  <si>
    <t xml:space="preserve">【8/20：PMC统计】 </t>
  </si>
  <si>
    <t>安乃达</t>
  </si>
  <si>
    <t>SO2025090066</t>
  </si>
  <si>
    <t>61400359-B-00001</t>
  </si>
  <si>
    <t>L303C5</t>
  </si>
  <si>
    <t>E树SO250900051</t>
  </si>
  <si>
    <t>10/20：原交期10/18，延期至10/27（按屏交期）</t>
  </si>
  <si>
    <r>
      <rPr>
        <b/>
        <sz val="9"/>
        <color rgb="FFDE3C36"/>
        <rFont val="等线"/>
        <charset val="134"/>
      </rPr>
      <t>交期锁定规则：</t>
    </r>
    <r>
      <rPr>
        <sz val="9"/>
        <color rgb="FF2972F4"/>
        <rFont val="等线"/>
        <charset val="134"/>
      </rPr>
      <t xml:space="preserve">
蓝底交期：</t>
    </r>
    <r>
      <rPr>
        <sz val="9"/>
        <color rgb="FF000000"/>
        <rFont val="等线"/>
        <charset val="134"/>
      </rPr>
      <t xml:space="preserve">本周计划订单锁定（第22周：6.1~6.7）
</t>
    </r>
    <r>
      <rPr>
        <sz val="9"/>
        <color rgb="FFFFC000"/>
        <rFont val="等线"/>
        <charset val="134"/>
      </rPr>
      <t>橙底交期：</t>
    </r>
    <r>
      <rPr>
        <sz val="9"/>
        <color rgb="FF000000"/>
        <rFont val="等线"/>
        <charset val="134"/>
      </rPr>
      <t xml:space="preserve">下周计划订单锁定（第23周：6.8~6.14）
白底交期：未锁定订单，市场可调整交期
</t>
    </r>
    <r>
      <rPr>
        <sz val="9"/>
        <color rgb="FFFF0000"/>
        <rFont val="等线"/>
        <charset val="134"/>
      </rPr>
      <t>红底交期</t>
    </r>
    <r>
      <rPr>
        <sz val="9"/>
        <color rgb="FF000000"/>
        <rFont val="等线"/>
        <charset val="134"/>
      </rPr>
      <t>：市场已作变更的交期</t>
    </r>
    <r>
      <rPr>
        <sz val="9"/>
        <color rgb="FFFF0000"/>
        <rFont val="等线"/>
        <charset val="134"/>
      </rPr>
      <t>【与PMC达成共识后，再改为对应交期底色】</t>
    </r>
    <r>
      <rPr>
        <sz val="9"/>
        <color rgb="FF00B050"/>
        <rFont val="等线"/>
        <charset val="134"/>
      </rPr>
      <t xml:space="preserve">
绿底交期：</t>
    </r>
    <r>
      <rPr>
        <sz val="9"/>
        <color rgb="FF000000"/>
        <rFont val="等线"/>
        <charset val="134"/>
      </rPr>
      <t>为已做好的订单，等市场通知出货</t>
    </r>
  </si>
  <si>
    <t>出货计划</t>
  </si>
  <si>
    <t>6/4生产情况</t>
  </si>
  <si>
    <t>是否导入新软件？</t>
  </si>
  <si>
    <t>新软件释放时间</t>
  </si>
  <si>
    <t>返工发货时间</t>
  </si>
  <si>
    <t>SO2025040081</t>
  </si>
  <si>
    <t>WSB25040777</t>
  </si>
  <si>
    <t>E树SO250400054</t>
  </si>
  <si>
    <t>5/16调整【提前】：原交期6/10 修改为6/3</t>
  </si>
  <si>
    <t>已出货</t>
  </si>
  <si>
    <t>×</t>
  </si>
  <si>
    <t>SO2025020050</t>
  </si>
  <si>
    <t>61400176-A-00013</t>
  </si>
  <si>
    <t>L401SXB1-B</t>
  </si>
  <si>
    <t>WSB25020727</t>
  </si>
  <si>
    <t>E树SO250200039</t>
  </si>
  <si>
    <t>4/8调整【延后】：原交期4/21 修改为6/4</t>
  </si>
  <si>
    <t>已入库</t>
  </si>
  <si>
    <t>61400175-A-00023</t>
  </si>
  <si>
    <t>已包装</t>
  </si>
  <si>
    <t>SO2025040082</t>
  </si>
  <si>
    <t>61400181-B-00009</t>
  </si>
  <si>
    <t>L182EXB2-H</t>
  </si>
  <si>
    <t>WSB25040778</t>
  </si>
  <si>
    <t>5/19：原交期5/30，延期至6/6</t>
  </si>
  <si>
    <t>SO2025050105</t>
  </si>
  <si>
    <t>61400177-A-00008</t>
  </si>
  <si>
    <t>WSB25050802</t>
  </si>
  <si>
    <t>E树SO250500068</t>
  </si>
  <si>
    <t>已发料，待生产，PCBA之前库存</t>
  </si>
  <si>
    <t>61400176-A-00012</t>
  </si>
  <si>
    <t>L401SXBT1S-A</t>
  </si>
  <si>
    <t>已发料，待生产，PCBA库存改制</t>
  </si>
  <si>
    <t>华耀</t>
  </si>
  <si>
    <t>SO2025050048</t>
  </si>
  <si>
    <r>
      <rPr>
        <strike/>
        <sz val="10"/>
        <color rgb="FF000000"/>
        <rFont val="等线"/>
        <charset val="134"/>
      </rPr>
      <t>61400181-A-00061</t>
    </r>
    <r>
      <rPr>
        <sz val="10"/>
        <color rgb="FF000000"/>
        <rFont val="等线"/>
        <charset val="134"/>
      </rPr>
      <t xml:space="preserve">
61400181-A-00062</t>
    </r>
  </si>
  <si>
    <t>L182EHY1-A</t>
  </si>
  <si>
    <t>WWJGD-2505-0024</t>
  </si>
  <si>
    <t>E树SO250500030</t>
  </si>
  <si>
    <t>暂未生产，PCBA估计用库存改制</t>
  </si>
  <si>
    <t>SO2025030138</t>
  </si>
  <si>
    <t>61400181-B-00007</t>
  </si>
  <si>
    <t>VELO10-250321023-F1</t>
  </si>
  <si>
    <t>E树SO250300091</t>
  </si>
  <si>
    <t>4/24：原交期5/6，延期至6/18
3/28：原交期4/24，延期至5/6</t>
  </si>
  <si>
    <t>售后机器返工，暂未生产</t>
  </si>
  <si>
    <t>SO2025050055</t>
  </si>
  <si>
    <t>61400175-A-00035</t>
  </si>
  <si>
    <t>导入BIST</t>
  </si>
  <si>
    <t>L183SQB1-B</t>
  </si>
  <si>
    <t>3510-202505160011</t>
  </si>
  <si>
    <t>E树SO250500035</t>
  </si>
  <si>
    <t>PCBA待贴片，预计6月10号交货</t>
  </si>
  <si>
    <t>信贝</t>
  </si>
  <si>
    <t>SO2025050062</t>
  </si>
  <si>
    <t>61400328-A-00007</t>
  </si>
  <si>
    <t>L401SXBEI1-A</t>
  </si>
  <si>
    <t>MB25A050176-1/2- - -5/24跟新</t>
  </si>
  <si>
    <t>E树SO250500039</t>
  </si>
  <si>
    <t>研发-TBD</t>
  </si>
  <si>
    <t>PCBA明天贴片</t>
  </si>
  <si>
    <t>61400328-A-00008</t>
  </si>
  <si>
    <t>L401SXBEI1-B</t>
  </si>
  <si>
    <t>SO2025050036</t>
  </si>
  <si>
    <t>61400175-A-00033</t>
  </si>
  <si>
    <t>L182SXBM2-A</t>
  </si>
  <si>
    <t>WSB25040780</t>
  </si>
  <si>
    <t>E树SO250500021</t>
  </si>
  <si>
    <t>61400175-A-00034</t>
  </si>
  <si>
    <t>L182SXBM2-B</t>
  </si>
  <si>
    <t>WSB25040781</t>
  </si>
  <si>
    <t>61400181-B-00041</t>
  </si>
  <si>
    <t>WSB25040782</t>
  </si>
  <si>
    <t>未生产，预计用库存板改制</t>
  </si>
  <si>
    <t>SO2025050058</t>
  </si>
  <si>
    <t>WSB25040783</t>
  </si>
  <si>
    <t>E树SO250500036</t>
  </si>
  <si>
    <t>WSB25050808</t>
  </si>
  <si>
    <t>E树SO250600005</t>
  </si>
  <si>
    <t>库存板改制</t>
  </si>
  <si>
    <t>61400181-B-00043</t>
  </si>
  <si>
    <t>SO2025050026</t>
  </si>
  <si>
    <t>WSB25040779</t>
  </si>
  <si>
    <t>E树SO250400081</t>
  </si>
  <si>
    <t>SO2025060002</t>
  </si>
  <si>
    <t>61400181-A-00062</t>
  </si>
  <si>
    <t>WWJGD-2505-0044</t>
  </si>
  <si>
    <t>E树SO250500078</t>
  </si>
  <si>
    <t>未生产</t>
  </si>
  <si>
    <t>61400181-B-00042</t>
  </si>
  <si>
    <t>L182EXB3-Y</t>
  </si>
  <si>
    <t>WSB25040790</t>
  </si>
  <si>
    <t>SO2025060003</t>
  </si>
  <si>
    <t>61400181-A-00065</t>
  </si>
  <si>
    <t>L182EBD1-D</t>
  </si>
  <si>
    <t>0000026254</t>
  </si>
  <si>
    <t>E树SO250500077</t>
  </si>
  <si>
    <t>SO2025050035</t>
  </si>
  <si>
    <t>61400176-A-00014</t>
  </si>
  <si>
    <t>L401SXB1-A</t>
  </si>
  <si>
    <t>WSB25040795</t>
  </si>
  <si>
    <t>E树SO250500017</t>
  </si>
  <si>
    <t>61400181-B-00039</t>
  </si>
  <si>
    <t>L182EXB1-Q</t>
  </si>
  <si>
    <t>SO2025030035</t>
  </si>
  <si>
    <t>61400181-B-00021</t>
  </si>
  <si>
    <t>L182EXB1-R</t>
  </si>
  <si>
    <t>WSB25020733</t>
  </si>
  <si>
    <t>E树SO250300003</t>
  </si>
  <si>
    <r>
      <rPr>
        <sz val="10"/>
        <color rgb="FFFF0000"/>
        <rFont val="等线"/>
        <charset val="134"/>
      </rPr>
      <t>4/24客户通知暂停</t>
    </r>
    <r>
      <rPr>
        <sz val="10"/>
        <color rgb="FF000000"/>
        <rFont val="等线"/>
        <charset val="134"/>
      </rPr>
      <t xml:space="preserve">
4/23调整【提前】：原交期5/8 修改为4/29
4/18调整【提前】：原交期6/5 修改为5/8
4/8调整【延后】：原交期4/22 修改为6/5</t>
    </r>
  </si>
  <si>
    <t>SO2025010037</t>
  </si>
  <si>
    <t>WSB25010701</t>
  </si>
  <si>
    <t>E树SO250100021</t>
  </si>
  <si>
    <t>客户型号待确认，原交期4/9
3/25调整【延后】：原交期4/2 修改为4/9
3/24调整【延后】：原交期3/25 修改为4/2</t>
  </si>
  <si>
    <t>SO2025010038</t>
  </si>
  <si>
    <r>
      <rPr>
        <b/>
        <sz val="9"/>
        <color rgb="FFDE3C36"/>
        <rFont val="等线"/>
        <charset val="134"/>
      </rPr>
      <t>交期锁定规则：</t>
    </r>
    <r>
      <rPr>
        <sz val="9"/>
        <color rgb="FF000000"/>
        <rFont val="等线"/>
        <charset val="134"/>
      </rPr>
      <t xml:space="preserve">
蓝底交期：本周已锁定计划
橙底交期：下周已锁定计划
白底交期：未锁定订单，市场可调整交期
红底交期：市场已作变更的交期</t>
    </r>
    <r>
      <rPr>
        <sz val="9"/>
        <color rgb="FFFF0000"/>
        <rFont val="等线"/>
        <charset val="134"/>
      </rPr>
      <t>【与PMC达成共识后，再改为对应交期底色】</t>
    </r>
    <r>
      <rPr>
        <sz val="9"/>
        <color rgb="FF000000"/>
        <rFont val="等线"/>
        <charset val="134"/>
      </rPr>
      <t xml:space="preserve">
绿底交期：为已做好的订单，等市场通知出货</t>
    </r>
  </si>
  <si>
    <t>U8订单号</t>
  </si>
  <si>
    <t>【市场交期】</t>
  </si>
  <si>
    <r>
      <rPr>
        <b/>
        <sz val="10"/>
        <color rgb="FF000000"/>
        <rFont val="等线"/>
        <charset val="134"/>
      </rPr>
      <t>JH二维码膜导入情况</t>
    </r>
    <r>
      <rPr>
        <b/>
        <sz val="10"/>
        <color rgb="FF000000"/>
        <rFont val="等线"/>
        <charset val="134"/>
      </rPr>
      <t xml:space="preserve">
【4/19：PMC统计】</t>
    </r>
  </si>
  <si>
    <r>
      <rPr>
        <b/>
        <sz val="10"/>
        <color rgb="FF000000"/>
        <rFont val="等线"/>
        <charset val="134"/>
      </rPr>
      <t>生产情况</t>
    </r>
    <r>
      <rPr>
        <b/>
        <sz val="10"/>
        <color rgb="FF000000"/>
        <rFont val="等线"/>
        <charset val="134"/>
      </rPr>
      <t xml:space="preserve">
【4/10：PMC统计】</t>
    </r>
  </si>
  <si>
    <t>SO2025030059</t>
  </si>
  <si>
    <t>H421-2503130033</t>
  </si>
  <si>
    <t>E树SO250300042</t>
  </si>
  <si>
    <t>4/21调整普【延后】：原交期4/23 修改为5/6
3/31调整【延后】：原交期4/14，延期至4/23</t>
  </si>
  <si>
    <t>H421-2503130033防水测试件</t>
  </si>
  <si>
    <r>
      <rPr>
        <strike/>
        <sz val="10"/>
        <color rgb="FF000000"/>
        <rFont val="等线"/>
        <charset val="134"/>
      </rPr>
      <t>嘉宏</t>
    </r>
    <r>
      <rPr>
        <sz val="10"/>
        <color rgb="FF000000"/>
        <rFont val="等线"/>
        <charset val="134"/>
      </rPr>
      <t xml:space="preserve">
爱欢腾（嘉宏）</t>
    </r>
  </si>
  <si>
    <t>SO2025010065</t>
  </si>
  <si>
    <t>61400274-D-00001</t>
  </si>
  <si>
    <t>BC147ECUJH1-A</t>
  </si>
  <si>
    <r>
      <rPr>
        <sz val="10"/>
        <color rgb="FF000000"/>
        <rFont val="等线"/>
        <charset val="134"/>
      </rPr>
      <t xml:space="preserve">HQKST250412RA
</t>
    </r>
    <r>
      <rPr>
        <strike/>
        <sz val="10"/>
        <color rgb="FF000000"/>
        <rFont val="等线"/>
        <charset val="134"/>
      </rPr>
      <t>JH250309RA</t>
    </r>
    <r>
      <rPr>
        <strike/>
        <sz val="10"/>
        <color rgb="FF000000"/>
        <rFont val="等线"/>
        <charset val="134"/>
      </rPr>
      <t xml:space="preserve">
HQ250117KST</t>
    </r>
  </si>
  <si>
    <t>E树SO250100040</t>
  </si>
  <si>
    <r>
      <rPr>
        <strike/>
        <sz val="10"/>
        <color rgb="FF000000"/>
        <rFont val="等线"/>
        <charset val="134"/>
      </rPr>
      <t>660</t>
    </r>
    <r>
      <rPr>
        <sz val="10"/>
        <color rgb="FF000000"/>
        <rFont val="等线"/>
        <charset val="134"/>
      </rPr>
      <t xml:space="preserve">
658</t>
    </r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</si>
  <si>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：原交期4/21 修改为5/6
4/9调整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：原交期4/23 修改为4/21
3/28调整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：原交期4/26 修改为4/23
3/15数量变更：658 修改为660
3/13调整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：原交期5/12 修改为4/26
3/3调整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：原交期3/31 修改为5/12</t>
    </r>
  </si>
  <si>
    <t>无丝印保护膜</t>
  </si>
  <si>
    <t>已完成</t>
  </si>
  <si>
    <t>V4.21.17</t>
  </si>
  <si>
    <t>V1.4</t>
  </si>
  <si>
    <r>
      <rPr>
        <sz val="10"/>
        <color rgb="FF000000"/>
        <rFont val="等线"/>
        <charset val="134"/>
      </rPr>
      <t xml:space="preserve">HQKST250412RA修补件
</t>
    </r>
    <r>
      <rPr>
        <strike/>
        <sz val="10"/>
        <color rgb="FF000000"/>
        <rFont val="等线"/>
        <charset val="134"/>
      </rPr>
      <t>JH250309RA</t>
    </r>
    <r>
      <rPr>
        <strike/>
        <sz val="10"/>
        <color rgb="FF000000"/>
        <rFont val="等线"/>
        <charset val="134"/>
      </rPr>
      <t xml:space="preserve">
HQ250117KST</t>
    </r>
  </si>
  <si>
    <t>恩巍</t>
  </si>
  <si>
    <t>SO2025040013</t>
  </si>
  <si>
    <t>61400275-B-00001</t>
  </si>
  <si>
    <t>BC240SEW1-A</t>
  </si>
  <si>
    <t>EWLT250402</t>
  </si>
  <si>
    <t>E树SO250400003</t>
  </si>
  <si>
    <t>3/28：原交期4/24，延期至5/6</t>
  </si>
  <si>
    <t>中控线</t>
  </si>
  <si>
    <t>原交期5/6，接兴蕊通知，延期至6/10</t>
  </si>
  <si>
    <r>
      <rPr>
        <strike/>
        <sz val="10"/>
        <color rgb="FF000000"/>
        <rFont val="等线"/>
        <charset val="134"/>
      </rPr>
      <t>嘉宏</t>
    </r>
    <r>
      <rPr>
        <sz val="10"/>
        <color rgb="FF000000"/>
        <rFont val="等线"/>
        <charset val="134"/>
      </rPr>
      <t xml:space="preserve">
（嘉宏）爱欢腾</t>
    </r>
  </si>
  <si>
    <r>
      <rPr>
        <sz val="10"/>
        <color rgb="FF000000"/>
        <rFont val="等线"/>
        <charset val="134"/>
      </rPr>
      <t xml:space="preserve">SO2025040024
</t>
    </r>
    <r>
      <rPr>
        <strike/>
        <sz val="10"/>
        <color rgb="FF000000"/>
        <rFont val="等线"/>
        <charset val="134"/>
      </rPr>
      <t>SO2025030043</t>
    </r>
    <r>
      <rPr>
        <strike/>
        <sz val="10"/>
        <color rgb="FF000000"/>
        <rFont val="等线"/>
        <charset val="134"/>
      </rPr>
      <t xml:space="preserve">
SO2025030083</t>
    </r>
  </si>
  <si>
    <r>
      <rPr>
        <strike/>
        <sz val="10"/>
        <color rgb="FF000000"/>
        <rFont val="等线"/>
        <charset val="134"/>
      </rPr>
      <t>61400274-D-00001</t>
    </r>
    <r>
      <rPr>
        <sz val="10"/>
        <color rgb="FF000000"/>
        <rFont val="等线"/>
        <charset val="134"/>
      </rPr>
      <t xml:space="preserve">
61400274-D-00004</t>
    </r>
  </si>
  <si>
    <r>
      <rPr>
        <strike/>
        <sz val="10"/>
        <color rgb="FF000000"/>
        <rFont val="等线"/>
        <charset val="134"/>
      </rPr>
      <t>JH250310RA</t>
    </r>
    <r>
      <rPr>
        <sz val="10"/>
        <color rgb="FF000000"/>
        <rFont val="等线"/>
        <charset val="134"/>
      </rPr>
      <t xml:space="preserve">
HQKST250407RA</t>
    </r>
  </si>
  <si>
    <r>
      <rPr>
        <strike/>
        <sz val="10"/>
        <color rgb="FF000000"/>
        <rFont val="等线"/>
        <charset val="134"/>
      </rPr>
      <t>E树SO250300032</t>
    </r>
    <r>
      <rPr>
        <sz val="10"/>
        <color rgb="FF000000"/>
        <rFont val="等线"/>
        <charset val="134"/>
      </rPr>
      <t xml:space="preserve">
E树SO250400015</t>
    </r>
  </si>
  <si>
    <t>4/8订单修改为爱欢腾，交期调整为5/6（原交期5/20）</t>
  </si>
  <si>
    <r>
      <rPr>
        <strike/>
        <sz val="10"/>
        <color rgb="FF000000"/>
        <rFont val="等线"/>
        <charset val="134"/>
      </rPr>
      <t>JH250310RA修补件</t>
    </r>
    <r>
      <rPr>
        <sz val="10"/>
        <color rgb="FF000000"/>
        <rFont val="等线"/>
        <charset val="134"/>
      </rPr>
      <t xml:space="preserve">
HQKST250407RA修补件</t>
    </r>
  </si>
  <si>
    <t>SO2025040067</t>
  </si>
  <si>
    <t>61400328-A-00005</t>
  </si>
  <si>
    <r>
      <rPr>
        <sz val="10"/>
        <color rgb="FF000000"/>
        <rFont val="等线"/>
        <charset val="134"/>
      </rPr>
      <t>L401SXBEI1-B</t>
    </r>
    <r>
      <rPr>
        <sz val="10"/>
        <color rgb="FFFF0000"/>
        <rFont val="等线"/>
        <charset val="134"/>
      </rPr>
      <t>（标签使用特采标，按键线350mm）</t>
    </r>
  </si>
  <si>
    <t>MB25A040159--2&amp;-3</t>
  </si>
  <si>
    <t>E树SO250400049</t>
  </si>
  <si>
    <t>4/18调整【提前】：原交期6/5 修改为5/8
4/8调整【延后】：原交期4/22 修改为6/5</t>
  </si>
  <si>
    <t>SO2025030090</t>
  </si>
  <si>
    <t>WSB25010719</t>
  </si>
  <si>
    <t>E树SO250300058</t>
  </si>
  <si>
    <t>4/18调整【提前】：原交期6/30 修改为5/8
4/8调整【延后】：原交期4/29 修改为6/30</t>
  </si>
  <si>
    <t>波兰Polana</t>
  </si>
  <si>
    <t>SO2025030157</t>
  </si>
  <si>
    <t>61400325-A-00004</t>
  </si>
  <si>
    <t>BC281SPL1-B</t>
  </si>
  <si>
    <t>K50</t>
  </si>
  <si>
    <t>PB001294</t>
  </si>
  <si>
    <t>E树SO250300082</t>
  </si>
  <si>
    <t>4/17：原交期4/28，延期至5/9
3/28：原交期4/15，延期至4/28</t>
  </si>
  <si>
    <t>SO2025030158</t>
  </si>
  <si>
    <t>61400334-A-00002</t>
  </si>
  <si>
    <t>BC201SPL1-B</t>
  </si>
  <si>
    <t>PB001585</t>
  </si>
  <si>
    <t>E树SO250300083</t>
  </si>
  <si>
    <t>SO2025030159</t>
  </si>
  <si>
    <t>PB001612</t>
  </si>
  <si>
    <t>E树SO250300084</t>
  </si>
  <si>
    <t>PB001636</t>
  </si>
  <si>
    <t>SO2025040068</t>
  </si>
  <si>
    <t>61400182-B-00012</t>
  </si>
  <si>
    <t>BC281SBTN1-A</t>
  </si>
  <si>
    <t>HZ202504156</t>
  </si>
  <si>
    <t>E树SO250400037</t>
  </si>
  <si>
    <t>SO2025040023</t>
  </si>
  <si>
    <t>61400327-1-00001</t>
  </si>
  <si>
    <t>BC203SQB1-A</t>
  </si>
  <si>
    <t>K31</t>
  </si>
  <si>
    <t>3510-202504070009</t>
  </si>
  <si>
    <t>E树SO250400011</t>
  </si>
  <si>
    <t>61400175-A-00025</t>
  </si>
  <si>
    <t>L183SQB1-C</t>
  </si>
  <si>
    <t>SO2025030088</t>
  </si>
  <si>
    <r>
      <rPr>
        <strike/>
        <sz val="10"/>
        <color rgb="FF000000"/>
        <rFont val="等线"/>
        <charset val="134"/>
      </rPr>
      <t>61400001-E</t>
    </r>
    <r>
      <rPr>
        <sz val="10"/>
        <color rgb="FF000000"/>
        <rFont val="等线"/>
        <charset val="134"/>
      </rPr>
      <t xml:space="preserve">
61400001-E-00001</t>
    </r>
  </si>
  <si>
    <t>PO2081</t>
  </si>
  <si>
    <t>E树SO250300065</t>
  </si>
  <si>
    <t xml:space="preserve">S_LCM_FW_APP_DT_3.1_1.1.1  </t>
  </si>
  <si>
    <t>SO2025040014</t>
  </si>
  <si>
    <t>61400239-B-00005</t>
  </si>
  <si>
    <t>BC351SGBH1-A</t>
  </si>
  <si>
    <t>B250400013</t>
  </si>
  <si>
    <t>E树SO250400004</t>
  </si>
  <si>
    <r>
      <rPr>
        <strike/>
        <sz val="10"/>
        <color rgb="FF000000"/>
        <rFont val="等线"/>
        <charset val="134"/>
      </rPr>
      <t>SO2025030043</t>
    </r>
    <r>
      <rPr>
        <sz val="10"/>
        <color rgb="FF000000"/>
        <rFont val="等线"/>
        <charset val="134"/>
      </rPr>
      <t xml:space="preserve">
SO2025030124</t>
    </r>
  </si>
  <si>
    <r>
      <rPr>
        <strike/>
        <sz val="10"/>
        <color rgb="FF000000"/>
        <rFont val="等线"/>
        <charset val="134"/>
      </rPr>
      <t>61400302-A-00004</t>
    </r>
    <r>
      <rPr>
        <sz val="10"/>
        <color rgb="FF000000"/>
        <rFont val="等线"/>
        <charset val="134"/>
      </rPr>
      <t xml:space="preserve">
61400302-A-00002</t>
    </r>
  </si>
  <si>
    <r>
      <rPr>
        <strike/>
        <sz val="10"/>
        <color rgb="FF000000"/>
        <rFont val="等线"/>
        <charset val="134"/>
      </rPr>
      <t>BC280ECUJH1</t>
    </r>
    <r>
      <rPr>
        <sz val="10"/>
        <color rgb="FF000000"/>
        <rFont val="等线"/>
        <charset val="134"/>
      </rPr>
      <t xml:space="preserve">
BC280ECUJH2</t>
    </r>
  </si>
  <si>
    <r>
      <rPr>
        <strike/>
        <sz val="10"/>
        <color rgb="FF000000"/>
        <rFont val="等线"/>
        <charset val="134"/>
      </rPr>
      <t>JH250307RA</t>
    </r>
    <r>
      <rPr>
        <sz val="10"/>
        <color rgb="FF000000"/>
        <rFont val="等线"/>
        <charset val="134"/>
      </rPr>
      <t xml:space="preserve">
HQBCI250414RA</t>
    </r>
  </si>
  <si>
    <r>
      <rPr>
        <strike/>
        <sz val="10"/>
        <color rgb="FF000000"/>
        <rFont val="等线"/>
        <charset val="134"/>
      </rPr>
      <t>E树SO250300032</t>
    </r>
    <r>
      <rPr>
        <sz val="10"/>
        <color rgb="FF000000"/>
        <rFont val="等线"/>
        <charset val="134"/>
      </rPr>
      <t xml:space="preserve">
E树SO250400036</t>
    </r>
  </si>
  <si>
    <r>
      <rPr>
        <strike/>
        <sz val="10"/>
        <color rgb="FF000000"/>
        <rFont val="等线"/>
        <charset val="134"/>
      </rPr>
      <t>383</t>
    </r>
    <r>
      <rPr>
        <sz val="10"/>
        <color rgb="FF000000"/>
        <rFont val="等线"/>
        <charset val="134"/>
      </rPr>
      <t xml:space="preserve">
382</t>
    </r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</si>
  <si>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：原交期4/28 修改为5/10
3/28调整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：原交期5/6 修改为4/28
3/13调整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：原交期4/24 修改为5/6</t>
    </r>
  </si>
  <si>
    <t>用无二维码保护膜</t>
  </si>
  <si>
    <r>
      <rPr>
        <strike/>
        <sz val="10"/>
        <color rgb="FF000000"/>
        <rFont val="等线"/>
        <charset val="134"/>
      </rPr>
      <t>JH250307RA</t>
    </r>
    <r>
      <rPr>
        <sz val="10"/>
        <color rgb="FF000000"/>
        <rFont val="等线"/>
        <charset val="134"/>
      </rPr>
      <t xml:space="preserve">
HQBCI250414RA修补件</t>
    </r>
  </si>
  <si>
    <t>SO2025040041</t>
  </si>
  <si>
    <t>61400047-L-00153</t>
  </si>
  <si>
    <t>JH1</t>
  </si>
  <si>
    <t>JH250407RA-P</t>
  </si>
  <si>
    <t>E树SO250400024</t>
  </si>
  <si>
    <t>61400047-L-00164</t>
  </si>
  <si>
    <t>JH27</t>
  </si>
  <si>
    <t>61400047-L-00165</t>
  </si>
  <si>
    <t>JH29</t>
  </si>
  <si>
    <t>61400047-L-00150</t>
  </si>
  <si>
    <t>JH31</t>
  </si>
  <si>
    <t>61400047-L-00154</t>
  </si>
  <si>
    <t>JH25</t>
  </si>
  <si>
    <t>SO2025040039</t>
  </si>
  <si>
    <t>61400324-A-00002</t>
  </si>
  <si>
    <t>BC281ESXL1-A</t>
  </si>
  <si>
    <t>S2505VE WMC</t>
  </si>
  <si>
    <t>E树SO250400013</t>
  </si>
  <si>
    <t>SO2025030142</t>
  </si>
  <si>
    <t>61400302-A-00002</t>
  </si>
  <si>
    <t>BC280ECUJH2</t>
  </si>
  <si>
    <r>
      <rPr>
        <strike/>
        <sz val="10"/>
        <color rgb="FF000000"/>
        <rFont val="等线"/>
        <charset val="134"/>
      </rPr>
      <t>JH250326RA</t>
    </r>
    <r>
      <rPr>
        <sz val="10"/>
        <color rgb="FF000000"/>
        <rFont val="等线"/>
        <charset val="134"/>
      </rPr>
      <t xml:space="preserve">
HQBCI250415RA</t>
    </r>
  </si>
  <si>
    <t>E树SO250300105</t>
  </si>
  <si>
    <r>
      <rPr>
        <strike/>
        <sz val="10"/>
        <color rgb="FF000000"/>
        <rFont val="等线"/>
        <charset val="134"/>
      </rPr>
      <t>806</t>
    </r>
    <r>
      <rPr>
        <sz val="10"/>
        <color rgb="FF000000"/>
        <rFont val="等线"/>
        <charset val="134"/>
      </rPr>
      <t xml:space="preserve">
804</t>
    </r>
  </si>
  <si>
    <r>
      <rPr>
        <sz val="10"/>
        <color rgb="FF000000"/>
        <rFont val="等线"/>
        <charset val="134"/>
      </rPr>
      <t>4/17调整【提前】：原交期5/24 修改为5/10
4/9调整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：原交期5/26 修改为5/24</t>
    </r>
  </si>
  <si>
    <t>爱欢腾（嘉宏）</t>
  </si>
  <si>
    <t>SO2025030154</t>
  </si>
  <si>
    <t>61400274-D-00004</t>
  </si>
  <si>
    <t>HQ-BCI250306RA-PAC.4</t>
  </si>
  <si>
    <t>E树SO250300116</t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</si>
  <si>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：原交期5/6 修改为5/12
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：原交期4/28 修改为5/6</t>
    </r>
  </si>
  <si>
    <t>HQ-BCI250306RA-PAC.4修补件</t>
  </si>
  <si>
    <t>HQ-BCI250307RA-PAC.4</t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</si>
  <si>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：原交期5/6 修改为5/12
4/9调整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：原交期5/8 修改为5/6</t>
    </r>
  </si>
  <si>
    <t>已发料，准备生产</t>
  </si>
  <si>
    <t>HQ-BCI250307RA-PAC.4修补件</t>
  </si>
  <si>
    <t>SO2025040069</t>
  </si>
  <si>
    <t>61400273-A-00002</t>
  </si>
  <si>
    <t>CS5050C</t>
  </si>
  <si>
    <t>TT1BC2504105</t>
  </si>
  <si>
    <t>E树SO250400040</t>
  </si>
  <si>
    <t>SO2025040052</t>
  </si>
  <si>
    <t>61400267-B-00002</t>
  </si>
  <si>
    <t>BC182SVL-ST1</t>
  </si>
  <si>
    <t>VELO10-250411005</t>
  </si>
  <si>
    <t>E树SO250400028</t>
  </si>
  <si>
    <t>预计4/25到</t>
  </si>
  <si>
    <t>SO2025040042</t>
  </si>
  <si>
    <t>61400184-1-00004</t>
  </si>
  <si>
    <t>DP002-FR（EH002法版)</t>
  </si>
  <si>
    <t>H421-2504090020</t>
  </si>
  <si>
    <t>E树SO250400023</t>
  </si>
  <si>
    <t>SO2025040002</t>
  </si>
  <si>
    <t>61400295-A-00003</t>
  </si>
  <si>
    <t>BC351STF1-A</t>
  </si>
  <si>
    <t>GZTFCGBZ2025-03-29000006</t>
  </si>
  <si>
    <t>E树SO250300122</t>
  </si>
  <si>
    <t>SO2025030143</t>
  </si>
  <si>
    <t>61400338-A-00001</t>
  </si>
  <si>
    <t>BC147SJH2</t>
  </si>
  <si>
    <t>JH250314RA-S</t>
  </si>
  <si>
    <t>E树SO250300104</t>
  </si>
  <si>
    <r>
      <rPr>
        <sz val="10"/>
        <color rgb="FF000000"/>
        <rFont val="等线"/>
        <charset val="134"/>
      </rPr>
      <t>4/17调整【延后】：原交期5/12 修改为5/13
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：原交期5/8 修改为5/12
4/11调整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：原交期5/13 修改为5/8
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：原交期5/8 修改为5/13</t>
    </r>
  </si>
  <si>
    <t>二维码保护膜</t>
  </si>
  <si>
    <t>SO2025030160</t>
  </si>
  <si>
    <t>61400336-A-00002</t>
  </si>
  <si>
    <t>BC302SPL1-B</t>
  </si>
  <si>
    <t>K70</t>
  </si>
  <si>
    <t>PB001399</t>
  </si>
  <si>
    <t>E树SO250300077</t>
  </si>
  <si>
    <t>4/17：原交期4/28，延期至5/14
3/28：原交期4/15，延期至4/28</t>
  </si>
  <si>
    <t>SO2025040080</t>
  </si>
  <si>
    <t>88800001-A-00001</t>
  </si>
  <si>
    <t>做过订单</t>
  </si>
  <si>
    <t>DR100EPL1-A</t>
  </si>
  <si>
    <t>E树SO250400053</t>
  </si>
  <si>
    <t>SO2025030161</t>
  </si>
  <si>
    <t>PB001443</t>
  </si>
  <si>
    <t>E树SO250300078</t>
  </si>
  <si>
    <t>SO2025030145</t>
  </si>
  <si>
    <r>
      <rPr>
        <strike/>
        <sz val="10"/>
        <color rgb="FF000000"/>
        <rFont val="等线"/>
        <charset val="134"/>
      </rPr>
      <t>61400339-A-00001</t>
    </r>
    <r>
      <rPr>
        <sz val="10"/>
        <color rgb="FF000000"/>
        <rFont val="等线"/>
        <charset val="134"/>
      </rPr>
      <t xml:space="preserve">
88800001-A-00001</t>
    </r>
  </si>
  <si>
    <r>
      <rPr>
        <strike/>
        <sz val="10"/>
        <color rgb="FF000000"/>
        <rFont val="等线"/>
        <charset val="134"/>
      </rPr>
      <t>E树SO250300112</t>
    </r>
    <r>
      <rPr>
        <sz val="10"/>
        <color rgb="FF000000"/>
        <rFont val="等线"/>
        <charset val="134"/>
      </rPr>
      <t xml:space="preserve">
E树SO250300114</t>
    </r>
  </si>
  <si>
    <t>4/17：原交期5/8，延期至5/14
3/28：原交期4/15，延期至5/8</t>
  </si>
  <si>
    <t>PB001269</t>
  </si>
  <si>
    <r>
      <rPr>
        <strike/>
        <sz val="10"/>
        <color rgb="FF000000"/>
        <rFont val="等线"/>
        <charset val="134"/>
      </rPr>
      <t>E树SO250300111</t>
    </r>
    <r>
      <rPr>
        <sz val="10"/>
        <color rgb="FF000000"/>
        <rFont val="等线"/>
        <charset val="134"/>
      </rPr>
      <t xml:space="preserve">
E树SO250300113</t>
    </r>
  </si>
  <si>
    <t>PB001352</t>
  </si>
  <si>
    <t>PB001491</t>
  </si>
  <si>
    <t>PB001538</t>
  </si>
  <si>
    <t>SO2025030162</t>
  </si>
  <si>
    <t>E树SO250300079</t>
  </si>
  <si>
    <t>SO2025030163</t>
  </si>
  <si>
    <t>61400337-A-00001</t>
  </si>
  <si>
    <t>BC302SPL1-C</t>
  </si>
  <si>
    <t>E树SO250300080</t>
  </si>
  <si>
    <t>SO2025030139</t>
  </si>
  <si>
    <t>61400242-B-00002</t>
  </si>
  <si>
    <t>BC281VLS1-A</t>
  </si>
  <si>
    <t>VELO10-250322011-S1</t>
  </si>
  <si>
    <t>4/16：原交期5/7，延期至5/14</t>
  </si>
  <si>
    <t>圣达</t>
  </si>
  <si>
    <t>SO2025040049</t>
  </si>
  <si>
    <t>61400202-A-00014</t>
  </si>
  <si>
    <t>BN136ESD1-A</t>
  </si>
  <si>
    <t>CGDD024406</t>
  </si>
  <si>
    <t>E树SO250400027</t>
  </si>
  <si>
    <t>4/15调整【延后】：原交期5/6 修改为5/14</t>
  </si>
  <si>
    <t>SO2025040022</t>
  </si>
  <si>
    <t>CGDD024219</t>
  </si>
  <si>
    <t>E树SO250400012</t>
  </si>
  <si>
    <t>兰途</t>
  </si>
  <si>
    <t>SO2025040065</t>
  </si>
  <si>
    <t>61400341-A-00001</t>
  </si>
  <si>
    <t>BC550SLT2-A</t>
  </si>
  <si>
    <t>LT-20250408-11</t>
  </si>
  <si>
    <t>E树SO250400030</t>
  </si>
  <si>
    <t>4/21调整【延期】：原交期5/8 修改为5/15</t>
  </si>
  <si>
    <t>SO2025040021</t>
  </si>
  <si>
    <t>WSB25040770</t>
  </si>
  <si>
    <t>E树SO250400010</t>
  </si>
  <si>
    <t>4/8调整【延后】：原交期5/8 修改为5/15</t>
  </si>
  <si>
    <t>SO2025040070</t>
  </si>
  <si>
    <t>61400325-A-00005</t>
  </si>
  <si>
    <t>DS8021C</t>
  </si>
  <si>
    <t>TT1BC2504121</t>
  </si>
  <si>
    <t>E树SO250400050</t>
  </si>
  <si>
    <t>SO2025040016</t>
  </si>
  <si>
    <t>VELO10-250331064-S1</t>
  </si>
  <si>
    <t>E树SO250400007</t>
  </si>
  <si>
    <t>61400328-A-00004</t>
  </si>
  <si>
    <t>MB25A050159-1</t>
  </si>
  <si>
    <t>样品组先走2个产前样，生产工单排438个即可。</t>
  </si>
  <si>
    <t>61400328-A-00006</t>
  </si>
  <si>
    <t>宝岛（款到发货）</t>
  </si>
  <si>
    <t>SO2025040071</t>
  </si>
  <si>
    <t>61400181-A-00059</t>
  </si>
  <si>
    <t>0000025640</t>
  </si>
  <si>
    <t>E树SO250400048</t>
  </si>
  <si>
    <t>SO2025040072</t>
  </si>
  <si>
    <t>61400181-A-00048</t>
  </si>
  <si>
    <t>WWJGD-2504-0031</t>
  </si>
  <si>
    <t>E树SO250400047</t>
  </si>
  <si>
    <t>SO2025040083</t>
  </si>
  <si>
    <t>61400275-B-00002</t>
  </si>
  <si>
    <t>EWET250317S</t>
  </si>
  <si>
    <t>E树SO250400052</t>
  </si>
  <si>
    <t>SO2025030045</t>
  </si>
  <si>
    <t>BC280ECUJH2-A</t>
  </si>
  <si>
    <t>HQ-BCI250216RA-LEV.3</t>
  </si>
  <si>
    <t>E树SO250300024</t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</si>
  <si>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：原交期5/10 修改为5/17
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：原交期4/28 修改为5/10
3/13调整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：原交期4/24 修改为4/28</t>
    </r>
  </si>
  <si>
    <t>HQ-BCI250216RA-LEV.3修补件</t>
  </si>
  <si>
    <t>HQ-BCI250217RA-LEL.3</t>
  </si>
  <si>
    <r>
      <rPr>
        <sz val="10"/>
        <color rgb="FF000000"/>
        <rFont val="等线"/>
        <charset val="134"/>
      </rPr>
      <t>4/17调整【延后】：原交期5/10 修改为5/17
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：原交期5/8 修改为5/10
3/28调整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：原交期5/6 修改为5/8</t>
    </r>
  </si>
  <si>
    <t>HQ-BCI250217RA-LEL.3修补件</t>
  </si>
  <si>
    <t>SO2025030046</t>
  </si>
  <si>
    <t>HQ-BCI250221RA-AVE.3</t>
  </si>
  <si>
    <t>E树SO250300025</t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</si>
  <si>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：原交期5/10 修改为5/17
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：原交期5/8 修改为5/10
3/28调整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：原交期5/6 修改为5/8</t>
    </r>
  </si>
  <si>
    <t>HQ-BCI250221RA-AVE.3修补件</t>
  </si>
  <si>
    <t>HQ-BCI250223RA-AVE3</t>
  </si>
  <si>
    <r>
      <rPr>
        <sz val="10"/>
        <color rgb="FF000000"/>
        <rFont val="等线"/>
        <charset val="134"/>
      </rPr>
      <t>4/14调整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：原交期5/10 修改为5/17
4/9调整【提前】：原交期5/15 修改为5/10
3/13调整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：原交期5/19 修改为5/15</t>
    </r>
  </si>
  <si>
    <t>HQ-BCI250223RA-AVE3修补件</t>
  </si>
  <si>
    <t>HQ-BCI250218RA-LEL.3</t>
  </si>
  <si>
    <r>
      <rPr>
        <sz val="10"/>
        <color rgb="FF000000"/>
        <rFont val="等线"/>
        <charset val="134"/>
      </rPr>
      <t>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：原交期5/8 修改为5/17
3/13调整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：原交期5/6 修改为5/8</t>
    </r>
  </si>
  <si>
    <t>HQ-BCI250218RA-LEL.3修补件</t>
  </si>
  <si>
    <t>HQ-BCI250219RA-LE1.3</t>
  </si>
  <si>
    <r>
      <rPr>
        <sz val="10"/>
        <color rgb="FF000000"/>
        <rFont val="等线"/>
        <charset val="134"/>
      </rPr>
      <t>4/9调整</t>
    </r>
    <r>
      <rPr>
        <sz val="10"/>
        <color rgb="FF9A38D7"/>
        <rFont val="等线"/>
        <charset val="134"/>
      </rPr>
      <t>【延后】</t>
    </r>
    <r>
      <rPr>
        <sz val="10"/>
        <color rgb="FF000000"/>
        <rFont val="等线"/>
        <charset val="134"/>
      </rPr>
      <t>：原交期5/15 修改为5/17
3/13调整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：原交期5/19 修改为5/15</t>
    </r>
  </si>
  <si>
    <t>HQ-BCI250219RA-LE1.3修补件</t>
  </si>
  <si>
    <t>61400294-1-00001</t>
  </si>
  <si>
    <t>BC112S-CGO600-1-EU</t>
  </si>
  <si>
    <t>CGBZ2025-03-28000004</t>
  </si>
  <si>
    <t>4/17：原交期5/12，延期至5/19</t>
  </si>
  <si>
    <t>SO2025040028</t>
  </si>
  <si>
    <t>CGBZ2025-04-07000003</t>
  </si>
  <si>
    <t>E树SO250400016</t>
  </si>
  <si>
    <t>4/17：原交期5/15，延期至5/19</t>
  </si>
  <si>
    <t>SO2025040017</t>
  </si>
  <si>
    <t>CGBZ2025-04-02000006</t>
  </si>
  <si>
    <t>E树SO250400008</t>
  </si>
  <si>
    <t>SO2025040050</t>
  </si>
  <si>
    <t>61400206-B-00009</t>
  </si>
  <si>
    <t>GZTFCGBZ2025-04-09000026</t>
  </si>
  <si>
    <t>E树SO250400026</t>
  </si>
  <si>
    <t>SO2025040003</t>
  </si>
  <si>
    <t>WSB25030766</t>
  </si>
  <si>
    <t>E树SO250300125</t>
  </si>
  <si>
    <t>4/18调整【提前】：原交期5/25 修改为5/19
4/15调整【提前】：原交期5/28 修改为5/25</t>
  </si>
  <si>
    <t>SO2025040100</t>
  </si>
  <si>
    <t>0000025723</t>
  </si>
  <si>
    <t>E树SO250400057</t>
  </si>
  <si>
    <t>SO2025040097</t>
  </si>
  <si>
    <t>61400262-B-00003</t>
  </si>
  <si>
    <t>BC550S-IOT-EW1-A</t>
  </si>
  <si>
    <t>E树SO250400056</t>
  </si>
  <si>
    <t>4/21调整【延后】：原交期5/17 修改为5/22</t>
  </si>
  <si>
    <t>预计5/6-7</t>
  </si>
  <si>
    <t>SO2025040043</t>
  </si>
  <si>
    <t>HQBCI250409RA</t>
  </si>
  <si>
    <t>E树SO250400025</t>
  </si>
  <si>
    <t>导入新的保护膜</t>
  </si>
  <si>
    <t>HQBCI250409RA修补件</t>
  </si>
  <si>
    <t>HQBCI250401RA</t>
  </si>
  <si>
    <r>
      <rPr>
        <sz val="10"/>
        <color rgb="FF000000"/>
        <rFont val="等线"/>
        <charset val="134"/>
      </rPr>
      <t>4/14调整</t>
    </r>
    <r>
      <rPr>
        <sz val="10"/>
        <color rgb="FFDE3C36"/>
        <rFont val="等线"/>
        <charset val="134"/>
      </rPr>
      <t>【提前】</t>
    </r>
    <r>
      <rPr>
        <sz val="10"/>
        <color rgb="FF000000"/>
        <rFont val="等线"/>
        <charset val="134"/>
      </rPr>
      <t>：原交期5/30 修改为5/22</t>
    </r>
  </si>
  <si>
    <t>HQBCI250401RA修补件</t>
  </si>
  <si>
    <t>州巧（SCOOZY）</t>
  </si>
  <si>
    <t>SO2025030071</t>
  </si>
  <si>
    <t>61400283-A-00003</t>
  </si>
  <si>
    <t>BC351ESC1-A</t>
  </si>
  <si>
    <t>R3200-2503000049</t>
  </si>
  <si>
    <t>E树SO250300048</t>
  </si>
  <si>
    <t>4/29调整【延后】：原交期5/27 修改为6/6
4/22调整【延后】：原交期5/23 修改为5/27</t>
  </si>
  <si>
    <t>洪邦</t>
  </si>
  <si>
    <t>SO2025040034</t>
  </si>
  <si>
    <t>61400237-B-00002</t>
  </si>
  <si>
    <t>3KM-3</t>
  </si>
  <si>
    <t>CZHB00003469</t>
  </si>
  <si>
    <t>E树SO250400017</t>
  </si>
  <si>
    <t>4/22调整【延后】：原交期5/13 修改为5/28</t>
  </si>
  <si>
    <t>SO2025040053</t>
  </si>
  <si>
    <t>61400181-B-00033</t>
  </si>
  <si>
    <t>WSB25030746</t>
  </si>
  <si>
    <t>E树SO250400032</t>
  </si>
  <si>
    <t>SO2025010069</t>
  </si>
  <si>
    <t>WSB25010720</t>
  </si>
  <si>
    <t>E树SO250100043</t>
  </si>
  <si>
    <t>4/8调整【延后】：原交期4/23 修改为5/30</t>
  </si>
  <si>
    <t>SO2025030049</t>
  </si>
  <si>
    <t>61400175-A-00029</t>
  </si>
  <si>
    <t>WSB25010716</t>
  </si>
  <si>
    <t>E树SO250300034</t>
  </si>
  <si>
    <t>4/8调整【延后】：原交期4/28 修改为5/30</t>
  </si>
  <si>
    <t>61400175-A-00030</t>
  </si>
  <si>
    <t>SO2025040073</t>
  </si>
  <si>
    <t>HQBCI250404RA</t>
  </si>
  <si>
    <t>E树SO250400041</t>
  </si>
  <si>
    <t>HQBCI250404RA修补件</t>
  </si>
  <si>
    <t>HQBCI250403RA</t>
  </si>
  <si>
    <t>HQBCI250403RA修补件</t>
  </si>
  <si>
    <t>HQBCI250402RA</t>
  </si>
  <si>
    <t>HQBCI250402RA修补件</t>
  </si>
  <si>
    <t>未发料</t>
  </si>
  <si>
    <t>先备长周期物料，订单先不生产</t>
  </si>
  <si>
    <t>乐骑</t>
  </si>
  <si>
    <t>X lite</t>
  </si>
  <si>
    <t>5 Plus</t>
  </si>
  <si>
    <t>4月订单准交率</t>
  </si>
  <si>
    <t>5月订单准交率</t>
  </si>
  <si>
    <t>6月订单准交率</t>
  </si>
  <si>
    <t>7月订单准交率</t>
  </si>
  <si>
    <t>8月订单准交率</t>
  </si>
  <si>
    <t>9月订单准交率</t>
  </si>
  <si>
    <t>时间</t>
  </si>
  <si>
    <t>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</si>
  <si>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</si>
  <si>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</si>
  <si>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</si>
  <si>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</si>
  <si>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</si>
  <si>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</si>
  <si>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</si>
  <si>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</si>
  <si>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</si>
  <si>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</si>
  <si>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</si>
  <si>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</si>
  <si>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</si>
  <si>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</si>
  <si>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</si>
  <si>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</si>
  <si>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</si>
  <si>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</si>
  <si>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</si>
  <si>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</si>
  <si>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</si>
  <si>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</si>
  <si>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</si>
  <si>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</si>
  <si>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</si>
  <si>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</si>
  <si>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应交PO数</t>
  </si>
  <si>
    <t>实交PO数</t>
  </si>
  <si>
    <t>订单达成率</t>
  </si>
  <si>
    <t xml:space="preserve"> </t>
  </si>
  <si>
    <r>
      <rPr>
        <sz val="12"/>
        <color rgb="FF000000"/>
        <rFont val="宋体"/>
        <charset val="134"/>
      </rPr>
      <t xml:space="preserve">订单准交率=生产实际入库的订单数/市场要求要出货的订单数*100% </t>
    </r>
    <r>
      <rPr>
        <sz val="12"/>
        <color rgb="FFFF0000"/>
        <rFont val="宋体"/>
        <charset val="134"/>
      </rPr>
      <t>（临时插单、临时变更订单除外）</t>
    </r>
  </si>
  <si>
    <r>
      <rPr>
        <sz val="12"/>
        <color rgb="FF000000"/>
        <rFont val="宋体"/>
        <charset val="134"/>
      </rPr>
      <t>备注：当天出货订单，当天</t>
    </r>
    <r>
      <rPr>
        <sz val="12"/>
        <color rgb="FFFF0000"/>
        <rFont val="宋体"/>
        <charset val="134"/>
      </rPr>
      <t>19:30前</t>
    </r>
    <r>
      <rPr>
        <sz val="12"/>
        <color rgb="FF000000"/>
        <rFont val="宋体"/>
        <charset val="134"/>
      </rPr>
      <t>需要完成入库工作，否则需要扣除订单准交数量</t>
    </r>
  </si>
  <si>
    <t>E树下单日期</t>
  </si>
  <si>
    <t>销售数量</t>
  </si>
  <si>
    <t>未发总数</t>
  </si>
  <si>
    <r>
      <rPr>
        <b/>
        <sz val="10"/>
        <color rgb="FF000000"/>
        <rFont val="等线"/>
        <charset val="134"/>
      </rPr>
      <t>备料情况</t>
    </r>
    <r>
      <rPr>
        <b/>
        <sz val="10"/>
        <color rgb="FFFF0000"/>
        <rFont val="等线"/>
        <charset val="134"/>
      </rPr>
      <t xml:space="preserve">
【PMC】</t>
    </r>
  </si>
  <si>
    <r>
      <rPr>
        <b/>
        <sz val="10"/>
        <color rgb="FF000000"/>
        <rFont val="等线"/>
        <charset val="134"/>
      </rPr>
      <t>是否已外发生产</t>
    </r>
    <r>
      <rPr>
        <b/>
        <sz val="10"/>
        <color rgb="FFFF0000"/>
        <rFont val="等线"/>
        <charset val="134"/>
      </rPr>
      <t xml:space="preserve">
【PMC】</t>
    </r>
  </si>
  <si>
    <t>退货返工单</t>
  </si>
  <si>
    <t>X lite UL美规</t>
  </si>
  <si>
    <t>售后返工</t>
  </si>
  <si>
    <t>正式订单</t>
  </si>
  <si>
    <t>SO2024080114</t>
  </si>
  <si>
    <t>61400230-1-00003</t>
  </si>
  <si>
    <t>X lite/20</t>
  </si>
  <si>
    <t>P020240826044</t>
  </si>
  <si>
    <t>E树SO240800088</t>
  </si>
  <si>
    <t>蓝牙模块,安全芯片</t>
  </si>
  <si>
    <t>齐料</t>
  </si>
  <si>
    <t>外发4100台，10/28号开始交货，400010/23外发</t>
  </si>
  <si>
    <t>10/21号到料</t>
  </si>
  <si>
    <t>P020240926006</t>
  </si>
  <si>
    <t>E树SO240900079</t>
  </si>
  <si>
    <t>要求齐料10/21</t>
  </si>
  <si>
    <t>暂未外发</t>
  </si>
  <si>
    <t>P020241025023</t>
  </si>
  <si>
    <t>E树SO241000075</t>
  </si>
  <si>
    <t>SO2024100017</t>
  </si>
  <si>
    <t>61400229-1-00007</t>
  </si>
  <si>
    <t>P020240923006</t>
  </si>
  <si>
    <t>E树SO240900058</t>
  </si>
  <si>
    <t>已齐料</t>
  </si>
  <si>
    <t>外发2000套，10/25号交付</t>
  </si>
  <si>
    <t>外发2000套，10/25号交付 3000套10/23号外发</t>
  </si>
  <si>
    <t>SO2024090033</t>
  </si>
  <si>
    <t>61400229-1-00006</t>
  </si>
  <si>
    <t>P020240902057</t>
  </si>
  <si>
    <t>E树SO240900007</t>
  </si>
  <si>
    <t xml:space="preserve">已外发 </t>
  </si>
  <si>
    <t>已备料</t>
  </si>
  <si>
    <t>10/23号外发</t>
  </si>
  <si>
    <t>P020241017016</t>
  </si>
  <si>
    <t>E树SO241000041</t>
  </si>
  <si>
    <t>已备料（10/21） 要求11/5号齐料</t>
  </si>
  <si>
    <t>PO20241019005</t>
  </si>
  <si>
    <t>E树SO241000053</t>
  </si>
  <si>
    <t>已备料（10/22） 要求11/5号齐料</t>
  </si>
  <si>
    <t>SO2024090054</t>
  </si>
  <si>
    <t>61400276-B-00001</t>
  </si>
  <si>
    <t>P020240911003</t>
  </si>
  <si>
    <t>E树SO240900032</t>
  </si>
  <si>
    <t>软件待确认</t>
  </si>
  <si>
    <t>已备料，待线缆确认</t>
  </si>
  <si>
    <t>61400276-B-00002</t>
  </si>
  <si>
    <t>P020241019010</t>
  </si>
  <si>
    <t>E树SO240900057</t>
  </si>
  <si>
    <t>已备料，除线缆，壳料</t>
  </si>
  <si>
    <r>
      <rPr>
        <b/>
        <sz val="10"/>
        <color rgb="FFFF0000"/>
        <rFont val="等线"/>
        <charset val="134"/>
      </rPr>
      <t>安全库存订单</t>
    </r>
    <r>
      <rPr>
        <b/>
        <sz val="10"/>
        <color rgb="FFFF0000"/>
        <rFont val="等线"/>
        <charset val="134"/>
      </rPr>
      <t xml:space="preserve">
（滚动式）</t>
    </r>
  </si>
  <si>
    <t>内部备品订单</t>
  </si>
  <si>
    <t>E树SO241000040</t>
  </si>
  <si>
    <t>已备料，要求11/5号到料</t>
  </si>
  <si>
    <t>部分数量已上用友
61400134-E-00003</t>
  </si>
  <si>
    <t>A8SW1，备料订单；</t>
  </si>
  <si>
    <t>LQ20220829026</t>
  </si>
  <si>
    <t>SO220800038</t>
  </si>
  <si>
    <t>SO2023120083</t>
  </si>
  <si>
    <t>61400248-A-00001</t>
  </si>
  <si>
    <t>A8CC-US</t>
  </si>
  <si>
    <t>LQ20231211009</t>
  </si>
  <si>
    <t>SO231200044</t>
  </si>
  <si>
    <t>6/26：通知仪表暂停出货，交期待定。--售后</t>
  </si>
  <si>
    <t>SO2024060054</t>
  </si>
  <si>
    <t>61400248-A-00002</t>
  </si>
  <si>
    <t>E树SO240600022</t>
  </si>
  <si>
    <t>6/26：通知仪表暂停出货，交期待定</t>
  </si>
  <si>
    <t>已完成，成品机在库</t>
  </si>
  <si>
    <t>61400134-H-00012</t>
  </si>
  <si>
    <t>A6L-MAX</t>
  </si>
  <si>
    <t>P020241018023</t>
  </si>
  <si>
    <t>E树SO241000055</t>
  </si>
  <si>
    <t>10/22已备料</t>
  </si>
  <si>
    <t>未外发</t>
  </si>
  <si>
    <t>61400134-H-00011</t>
  </si>
  <si>
    <t>D6</t>
  </si>
  <si>
    <t>LQ20240311021</t>
  </si>
  <si>
    <t>E树SO241000063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</si>
</sst>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_);[Red]\(0\)"/>
    <numFmt numFmtId="178" formatCode="yyyy/m/d;@"/>
    <numFmt numFmtId="179" formatCode="m&quot;月&quot;d&quot;日&quot;;@"/>
  </numFmts>
  <fonts count="87">
    <font>
      <sz val="10"/>
      <color theme="1"/>
      <name val="等线"/>
      <charset val="134"/>
      <scheme val="minor"/>
    </font>
    <font>
      <sz val="10"/>
      <color rgb="FF00B050"/>
      <name val="等线"/>
      <charset val="134"/>
    </font>
    <font>
      <sz val="10"/>
      <color rgb="FFC00000"/>
      <name val="等线"/>
      <charset val="134"/>
    </font>
    <font>
      <sz val="10"/>
      <color rgb="FF000000"/>
      <name val="等线"/>
      <charset val="134"/>
    </font>
    <font>
      <b/>
      <sz val="12"/>
      <name val="Microsoft YaHei"/>
      <charset val="134"/>
    </font>
    <font>
      <b/>
      <sz val="9"/>
      <color rgb="FFFF0000"/>
      <name val="等线"/>
      <charset val="134"/>
    </font>
    <font>
      <b/>
      <sz val="10"/>
      <name val="等线"/>
      <charset val="134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b/>
      <sz val="10"/>
      <color rgb="FFC00000"/>
      <name val="等线"/>
      <charset val="134"/>
    </font>
    <font>
      <b/>
      <sz val="10"/>
      <color rgb="FFFF0000"/>
      <name val="等线"/>
      <charset val="134"/>
    </font>
    <font>
      <b/>
      <sz val="14"/>
      <color rgb="FFFF0000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trike/>
      <sz val="10"/>
      <name val="等线"/>
      <charset val="134"/>
    </font>
    <font>
      <b/>
      <sz val="20"/>
      <name val="等线"/>
      <charset val="134"/>
    </font>
    <font>
      <b/>
      <sz val="12"/>
      <color rgb="FFFFFFFF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sz val="11"/>
      <name val="等线"/>
      <charset val="134"/>
    </font>
    <font>
      <sz val="12"/>
      <name val="宋体"/>
      <charset val="134"/>
    </font>
    <font>
      <b/>
      <sz val="16"/>
      <name val="Microsoft YaHei"/>
      <charset val="134"/>
    </font>
    <font>
      <b/>
      <sz val="9"/>
      <name val="等线"/>
      <charset val="134"/>
    </font>
    <font>
      <sz val="16"/>
      <color rgb="FF000000"/>
      <name val="等线"/>
      <charset val="134"/>
    </font>
    <font>
      <b/>
      <sz val="16"/>
      <color rgb="FF000000"/>
      <name val="等线"/>
      <charset val="134"/>
    </font>
    <font>
      <b/>
      <sz val="14"/>
      <name val="等线"/>
      <charset val="134"/>
    </font>
    <font>
      <sz val="16"/>
      <name val="等线"/>
      <charset val="134"/>
    </font>
    <font>
      <sz val="10"/>
      <name val="Microsoft YaHei"/>
      <charset val="134"/>
    </font>
    <font>
      <sz val="10"/>
      <color rgb="FF00B050"/>
      <name val="Microsoft YaHei"/>
      <charset val="134"/>
    </font>
    <font>
      <sz val="10"/>
      <color rgb="FFC00000"/>
      <name val="Microsoft YaHei"/>
      <charset val="134"/>
    </font>
    <font>
      <sz val="10"/>
      <color rgb="FF000000"/>
      <name val="Microsoft YaHei"/>
      <charset val="134"/>
    </font>
    <font>
      <b/>
      <sz val="9"/>
      <color rgb="FFFF0000"/>
      <name val="Microsoft YaHei"/>
      <charset val="134"/>
    </font>
    <font>
      <b/>
      <sz val="10"/>
      <name val="Microsoft YaHei"/>
      <charset val="134"/>
    </font>
    <font>
      <b/>
      <strike/>
      <sz val="10"/>
      <color rgb="FF00A3F5"/>
      <name val="Microsoft YaHei"/>
      <charset val="134"/>
    </font>
    <font>
      <b/>
      <sz val="10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9"/>
      <name val="Microsoft YaHei"/>
      <charset val="134"/>
    </font>
    <font>
      <b/>
      <sz val="10"/>
      <color rgb="FFC00000"/>
      <name val="Microsoft YaHei"/>
      <charset val="134"/>
    </font>
    <font>
      <b/>
      <sz val="10"/>
      <color rgb="FFFF0000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等线"/>
      <charset val="134"/>
    </font>
    <font>
      <sz val="10"/>
      <color theme="1"/>
      <name val="Microsoft YaHei"/>
      <charset val="134"/>
    </font>
    <font>
      <sz val="9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9"/>
      <color rgb="FF175CEB"/>
      <name val="等线"/>
      <charset val="134"/>
    </font>
    <font>
      <sz val="10"/>
      <color rgb="FF9A38D7"/>
      <name val="等线"/>
      <charset val="134"/>
    </font>
    <font>
      <sz val="10"/>
      <color rgb="FFDE3C36"/>
      <name val="等线"/>
      <charset val="134"/>
    </font>
    <font>
      <strike/>
      <sz val="10"/>
      <color rgb="FF000000"/>
      <name val="等线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b/>
      <sz val="9"/>
      <color rgb="FFDE3C36"/>
      <name val="等线"/>
      <charset val="134"/>
    </font>
    <font>
      <sz val="9"/>
      <color rgb="FF2972F4"/>
      <name val="等线"/>
      <charset val="134"/>
    </font>
    <font>
      <sz val="9"/>
      <color rgb="FF000000"/>
      <name val="等线"/>
      <charset val="134"/>
    </font>
    <font>
      <sz val="9"/>
      <color rgb="FFFFC000"/>
      <name val="等线"/>
      <charset val="134"/>
    </font>
    <font>
      <sz val="9"/>
      <color rgb="FFFF0000"/>
      <name val="等线"/>
      <charset val="134"/>
    </font>
    <font>
      <sz val="9"/>
      <color rgb="FF00B050"/>
      <name val="等线"/>
      <charset val="134"/>
    </font>
    <font>
      <u/>
      <sz val="10"/>
      <color rgb="FF175CEB"/>
      <name val="等线"/>
      <charset val="134"/>
    </font>
    <font>
      <sz val="9"/>
      <color rgb="FF000000"/>
      <name val="Microsoft YaHei"/>
      <charset val="134"/>
    </font>
    <font>
      <b/>
      <sz val="9"/>
      <color rgb="FFDE3C36"/>
      <name val="Microsoft YaHei"/>
      <charset val="134"/>
    </font>
    <font>
      <sz val="9"/>
      <color rgb="FF2972F4"/>
      <name val="Microsoft YaHei"/>
      <charset val="134"/>
    </font>
    <font>
      <sz val="9"/>
      <color rgb="FFFFC000"/>
      <name val="Microsoft YaHei"/>
      <charset val="134"/>
    </font>
    <font>
      <sz val="9"/>
      <color rgb="FFFF0000"/>
      <name val="Microsoft YaHei"/>
      <charset val="134"/>
    </font>
    <font>
      <sz val="9"/>
      <color rgb="FF00B050"/>
      <name val="Microsoft YaHei"/>
      <charset val="134"/>
    </font>
    <font>
      <sz val="10"/>
      <color rgb="FF000000"/>
      <name val="等线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5B9BD5"/>
      </left>
      <right style="thin">
        <color rgb="FFFFFFFF"/>
      </right>
      <top style="thin">
        <color rgb="FF5B9BD5"/>
      </top>
      <bottom style="thin">
        <color rgb="FF5B9BD5"/>
      </bottom>
      <diagonal/>
    </border>
    <border>
      <left style="thin">
        <color rgb="FFFFFFFF"/>
      </left>
      <right style="thin">
        <color rgb="FFFFFFFF"/>
      </right>
      <top/>
      <bottom style="thin">
        <color rgb="FF5B9BD5"/>
      </bottom>
      <diagonal/>
    </border>
    <border>
      <left style="thin">
        <color rgb="FFFFFFFF"/>
      </left>
      <right style="thin">
        <color rgb="FFFFFFFF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28" borderId="20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9" borderId="23" applyNumberFormat="0" applyAlignment="0" applyProtection="0">
      <alignment vertical="center"/>
    </xf>
    <xf numFmtId="0" fontId="55" fillId="30" borderId="24" applyNumberFormat="0" applyAlignment="0" applyProtection="0">
      <alignment vertical="center"/>
    </xf>
    <xf numFmtId="0" fontId="56" fillId="30" borderId="23" applyNumberFormat="0" applyAlignment="0" applyProtection="0">
      <alignment vertical="center"/>
    </xf>
    <xf numFmtId="0" fontId="57" fillId="4" borderId="25" applyNumberFormat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</cellStyleXfs>
  <cellXfs count="59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14" fontId="0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 wrapText="1"/>
    </xf>
    <xf numFmtId="0" fontId="0" fillId="0" borderId="0" xfId="0" applyFont="1" applyFill="1">
      <alignment vertical="center"/>
    </xf>
    <xf numFmtId="14" fontId="4" fillId="2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176" fontId="8" fillId="3" borderId="0" xfId="0" applyNumberFormat="1" applyFont="1" applyFill="1" applyBorder="1" applyAlignment="1">
      <alignment horizontal="center" vertical="center" wrapText="1"/>
    </xf>
    <xf numFmtId="178" fontId="8" fillId="3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177" fontId="9" fillId="3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6" fillId="3" borderId="0" xfId="0" applyFont="1" applyFill="1">
      <alignment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76" fontId="11" fillId="8" borderId="3" xfId="0" applyNumberFormat="1" applyFont="1" applyFill="1" applyBorder="1" applyAlignment="1">
      <alignment horizontal="left" vertical="center" wrapText="1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178" fontId="10" fillId="9" borderId="2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177" fontId="9" fillId="4" borderId="3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3" xfId="0" applyFont="1" applyFill="1" applyBorder="1">
      <alignment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7" fillId="8" borderId="2" xfId="0" applyNumberFormat="1" applyFont="1" applyFill="1" applyBorder="1" applyAlignment="1">
      <alignment horizontal="center" vertical="center"/>
    </xf>
    <xf numFmtId="0" fontId="0" fillId="0" borderId="7" xfId="0" applyFont="1" applyFill="1" applyBorder="1">
      <alignment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8" borderId="10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/>
    </xf>
    <xf numFmtId="176" fontId="6" fillId="0" borderId="1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2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/>
    </xf>
    <xf numFmtId="0" fontId="0" fillId="0" borderId="13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/>
    <xf numFmtId="0" fontId="0" fillId="0" borderId="2" xfId="0" applyFont="1" applyFill="1" applyBorder="1">
      <alignment vertical="center"/>
    </xf>
    <xf numFmtId="0" fontId="13" fillId="0" borderId="1" xfId="0" applyFont="1" applyFill="1" applyBorder="1" applyAlignment="1"/>
    <xf numFmtId="0" fontId="1" fillId="0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/>
    </xf>
    <xf numFmtId="0" fontId="0" fillId="0" borderId="9" xfId="0" applyFont="1" applyFill="1" applyBorder="1">
      <alignment vertical="center"/>
    </xf>
    <xf numFmtId="14" fontId="0" fillId="0" borderId="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4" xfId="0" applyFont="1" applyFill="1" applyBorder="1">
      <alignment vertical="center"/>
    </xf>
    <xf numFmtId="0" fontId="13" fillId="0" borderId="3" xfId="0" applyFont="1" applyFill="1" applyBorder="1" applyAlignment="1"/>
    <xf numFmtId="0" fontId="0" fillId="0" borderId="1" xfId="0" applyFont="1" applyFill="1" applyBorder="1" applyAlignment="1">
      <alignment vertical="center" wrapText="1"/>
    </xf>
    <xf numFmtId="0" fontId="0" fillId="8" borderId="1" xfId="0" applyFont="1" applyFill="1" applyBorder="1">
      <alignment vertical="center"/>
    </xf>
    <xf numFmtId="0" fontId="0" fillId="0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vertical="center" wrapText="1"/>
    </xf>
    <xf numFmtId="0" fontId="0" fillId="0" borderId="11" xfId="0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13" fillId="0" borderId="3" xfId="0" applyFont="1" applyFill="1" applyBorder="1">
      <alignment vertical="center"/>
    </xf>
    <xf numFmtId="0" fontId="13" fillId="0" borderId="8" xfId="0" applyFont="1" applyFill="1" applyBorder="1">
      <alignment vertical="center"/>
    </xf>
    <xf numFmtId="0" fontId="13" fillId="0" borderId="8" xfId="0" applyFont="1" applyFill="1" applyBorder="1" applyAlignment="1"/>
    <xf numFmtId="0" fontId="0" fillId="0" borderId="14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/>
    <xf numFmtId="0" fontId="13" fillId="0" borderId="5" xfId="0" applyFont="1" applyFill="1" applyBorder="1" applyAlignment="1"/>
    <xf numFmtId="0" fontId="12" fillId="0" borderId="5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176" fontId="6" fillId="0" borderId="12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/>
    <xf numFmtId="0" fontId="10" fillId="3" borderId="1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0" fillId="0" borderId="10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6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15" fillId="0" borderId="0" xfId="0" applyNumberFormat="1" applyFont="1" applyFill="1" applyAlignment="1">
      <alignment horizontal="center" vertical="center" wrapText="1"/>
    </xf>
    <xf numFmtId="14" fontId="15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 wrapText="1"/>
    </xf>
    <xf numFmtId="178" fontId="3" fillId="0" borderId="0" xfId="0" applyNumberFormat="1" applyFont="1" applyFill="1" applyAlignment="1">
      <alignment horizontal="left" vertical="center"/>
    </xf>
    <xf numFmtId="14" fontId="3" fillId="0" borderId="0" xfId="0" applyNumberFormat="1" applyFont="1" applyFill="1" applyAlignment="1">
      <alignment horizontal="left" vertical="center"/>
    </xf>
    <xf numFmtId="0" fontId="12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6" fillId="15" borderId="0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6" fillId="17" borderId="0" xfId="0" applyFont="1" applyFill="1" applyBorder="1" applyAlignment="1">
      <alignment horizontal="center" vertical="center"/>
    </xf>
    <xf numFmtId="0" fontId="16" fillId="18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19" borderId="0" xfId="0" applyFont="1" applyFill="1" applyBorder="1" applyAlignment="1">
      <alignment horizontal="center" vertical="center"/>
    </xf>
    <xf numFmtId="0" fontId="17" fillId="20" borderId="15" xfId="0" applyFont="1" applyFill="1" applyBorder="1" applyAlignment="1">
      <alignment horizontal="center" vertical="center"/>
    </xf>
    <xf numFmtId="179" fontId="17" fillId="20" borderId="16" xfId="0" applyNumberFormat="1" applyFont="1" applyFill="1" applyBorder="1" applyAlignment="1">
      <alignment horizontal="center" vertical="center"/>
    </xf>
    <xf numFmtId="0" fontId="17" fillId="20" borderId="1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10" fontId="19" fillId="0" borderId="18" xfId="0" applyNumberFormat="1" applyFont="1" applyFill="1" applyBorder="1" applyAlignment="1">
      <alignment horizontal="center" vertical="center"/>
    </xf>
    <xf numFmtId="10" fontId="20" fillId="0" borderId="18" xfId="0" applyNumberFormat="1" applyFont="1" applyFill="1" applyBorder="1" applyAlignment="1">
      <alignment horizontal="center" vertical="center"/>
    </xf>
    <xf numFmtId="0" fontId="21" fillId="0" borderId="0" xfId="0" applyFont="1" applyFill="1" applyAlignment="1"/>
    <xf numFmtId="0" fontId="21" fillId="0" borderId="0" xfId="0" applyFont="1" applyFill="1">
      <alignment vertical="center"/>
    </xf>
    <xf numFmtId="0" fontId="15" fillId="0" borderId="1" xfId="0" applyFont="1" applyFill="1" applyBorder="1">
      <alignment vertical="center"/>
    </xf>
    <xf numFmtId="0" fontId="0" fillId="0" borderId="0" xfId="0" applyFont="1" applyFill="1" applyAlignment="1">
      <alignment horizontal="left" vertical="center"/>
    </xf>
    <xf numFmtId="14" fontId="22" fillId="2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178" fontId="23" fillId="3" borderId="0" xfId="0" applyNumberFormat="1" applyFont="1" applyFill="1" applyAlignment="1">
      <alignment horizontal="left" vertical="center" wrapText="1"/>
    </xf>
    <xf numFmtId="178" fontId="7" fillId="3" borderId="0" xfId="0" applyNumberFormat="1" applyFont="1" applyFill="1" applyAlignment="1">
      <alignment horizontal="left" vertical="center"/>
    </xf>
    <xf numFmtId="178" fontId="7" fillId="3" borderId="0" xfId="0" applyNumberFormat="1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178" fontId="10" fillId="8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8" fontId="6" fillId="21" borderId="1" xfId="0" applyNumberFormat="1" applyFont="1" applyFill="1" applyBorder="1" applyAlignment="1">
      <alignment horizontal="center" vertical="center" wrapText="1"/>
    </xf>
    <xf numFmtId="0" fontId="6" fillId="21" borderId="8" xfId="0" applyFont="1" applyFill="1" applyBorder="1" applyAlignment="1">
      <alignment horizontal="center" vertical="center" wrapText="1"/>
    </xf>
    <xf numFmtId="178" fontId="7" fillId="21" borderId="11" xfId="0" applyNumberFormat="1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>
      <alignment vertical="center"/>
    </xf>
    <xf numFmtId="14" fontId="6" fillId="10" borderId="2" xfId="0" applyNumberFormat="1" applyFont="1" applyFill="1" applyBorder="1" applyAlignment="1">
      <alignment horizontal="center" vertical="center"/>
    </xf>
    <xf numFmtId="178" fontId="7" fillId="21" borderId="14" xfId="0" applyNumberFormat="1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3" fillId="3" borderId="8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14" fontId="13" fillId="3" borderId="5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4" fontId="13" fillId="0" borderId="9" xfId="0" applyNumberFormat="1" applyFont="1" applyFill="1" applyBorder="1" applyAlignment="1">
      <alignment horizontal="left" vertical="center"/>
    </xf>
    <xf numFmtId="0" fontId="0" fillId="4" borderId="1" xfId="0" applyFont="1" applyFill="1" applyBorder="1">
      <alignment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left" vertical="center"/>
    </xf>
    <xf numFmtId="14" fontId="0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4" fontId="13" fillId="4" borderId="9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 wrapText="1"/>
    </xf>
    <xf numFmtId="0" fontId="13" fillId="0" borderId="7" xfId="0" applyFont="1" applyFill="1" applyBorder="1">
      <alignment vertical="center"/>
    </xf>
    <xf numFmtId="0" fontId="13" fillId="0" borderId="6" xfId="0" applyFont="1" applyFill="1" applyBorder="1">
      <alignment vertical="center"/>
    </xf>
    <xf numFmtId="0" fontId="13" fillId="3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horizontal="left" vertical="center"/>
    </xf>
    <xf numFmtId="14" fontId="13" fillId="0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14" fontId="13" fillId="3" borderId="9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>
      <alignment vertical="center"/>
    </xf>
    <xf numFmtId="0" fontId="0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center"/>
    </xf>
    <xf numFmtId="14" fontId="0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 wrapText="1"/>
    </xf>
    <xf numFmtId="0" fontId="0" fillId="22" borderId="6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/>
    </xf>
    <xf numFmtId="14" fontId="13" fillId="0" borderId="2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4" fontId="0" fillId="3" borderId="9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0" fillId="0" borderId="1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horizontal="left" vertical="center"/>
    </xf>
    <xf numFmtId="14" fontId="13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wrapText="1"/>
    </xf>
    <xf numFmtId="14" fontId="0" fillId="0" borderId="9" xfId="0" applyNumberFormat="1" applyFont="1" applyFill="1" applyBorder="1" applyAlignment="1">
      <alignment horizontal="center" vertical="center"/>
    </xf>
    <xf numFmtId="14" fontId="0" fillId="0" borderId="8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179" fontId="3" fillId="3" borderId="4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14" fontId="0" fillId="14" borderId="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0" fontId="0" fillId="22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left" vertical="center" wrapText="1"/>
    </xf>
    <xf numFmtId="0" fontId="0" fillId="23" borderId="1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4" fontId="13" fillId="3" borderId="6" xfId="0" applyNumberFormat="1" applyFont="1" applyFill="1" applyBorder="1" applyAlignment="1">
      <alignment horizontal="center" vertical="center" wrapText="1"/>
    </xf>
    <xf numFmtId="0" fontId="0" fillId="23" borderId="6" xfId="0" applyFont="1" applyFill="1" applyBorder="1" applyAlignment="1">
      <alignment horizontal="left" vertical="center"/>
    </xf>
    <xf numFmtId="0" fontId="0" fillId="23" borderId="2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23" borderId="1" xfId="0" applyFont="1" applyFill="1" applyBorder="1" applyAlignment="1">
      <alignment horizontal="left" vertical="center"/>
    </xf>
    <xf numFmtId="0" fontId="24" fillId="0" borderId="0" xfId="0" applyFont="1" applyFill="1" applyAlignment="1">
      <alignment horizontal="center" vertical="center"/>
    </xf>
    <xf numFmtId="178" fontId="8" fillId="0" borderId="0" xfId="0" applyNumberFormat="1" applyFont="1" applyFill="1" applyBorder="1" applyAlignment="1">
      <alignment horizontal="left" vertical="center" wrapText="1"/>
    </xf>
    <xf numFmtId="178" fontId="25" fillId="3" borderId="0" xfId="0" applyNumberFormat="1" applyFont="1" applyFill="1" applyAlignment="1">
      <alignment horizontal="center" vertical="center"/>
    </xf>
    <xf numFmtId="178" fontId="10" fillId="21" borderId="1" xfId="0" applyNumberFormat="1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26" fillId="14" borderId="1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2" fillId="0" borderId="2" xfId="0" applyFont="1" applyFill="1" applyBorder="1">
      <alignment vertical="center"/>
    </xf>
    <xf numFmtId="0" fontId="12" fillId="0" borderId="12" xfId="0" applyFont="1" applyFill="1" applyBorder="1">
      <alignment vertical="center"/>
    </xf>
    <xf numFmtId="0" fontId="26" fillId="14" borderId="1" xfId="0" applyFont="1" applyFill="1" applyBorder="1" applyAlignment="1">
      <alignment horizontal="center" vertical="center" wrapText="1"/>
    </xf>
    <xf numFmtId="0" fontId="0" fillId="12" borderId="1" xfId="0" applyFont="1" applyFill="1" applyBorder="1">
      <alignment vertical="center"/>
    </xf>
    <xf numFmtId="14" fontId="0" fillId="24" borderId="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14" fontId="13" fillId="21" borderId="1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27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8" fillId="0" borderId="0" xfId="0" applyFont="1" applyFill="1">
      <alignment vertical="center"/>
    </xf>
    <xf numFmtId="0" fontId="28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horizontal="left" vertical="center"/>
    </xf>
    <xf numFmtId="14" fontId="28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4" fontId="31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14" fontId="28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 wrapText="1"/>
    </xf>
    <xf numFmtId="177" fontId="30" fillId="0" borderId="0" xfId="0" applyNumberFormat="1" applyFont="1" applyFill="1" applyAlignment="1">
      <alignment horizontal="left" vertical="center" wrapText="1"/>
    </xf>
    <xf numFmtId="177" fontId="30" fillId="0" borderId="0" xfId="0" applyNumberFormat="1" applyFont="1" applyFill="1" applyBorder="1" applyAlignment="1">
      <alignment horizontal="left" vertical="center" wrapText="1"/>
    </xf>
    <xf numFmtId="14" fontId="22" fillId="2" borderId="2" xfId="0" applyNumberFormat="1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left" vertical="center" wrapText="1"/>
    </xf>
    <xf numFmtId="14" fontId="33" fillId="3" borderId="2" xfId="0" applyNumberFormat="1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178" fontId="36" fillId="0" borderId="2" xfId="0" applyNumberFormat="1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/>
    </xf>
    <xf numFmtId="14" fontId="33" fillId="3" borderId="1" xfId="0" applyNumberFormat="1" applyFont="1" applyFill="1" applyBorder="1" applyAlignment="1">
      <alignment horizontal="center" vertical="center"/>
    </xf>
    <xf numFmtId="178" fontId="37" fillId="3" borderId="1" xfId="0" applyNumberFormat="1" applyFont="1" applyFill="1" applyBorder="1" applyAlignment="1">
      <alignment horizontal="left" vertical="center" wrapText="1"/>
    </xf>
    <xf numFmtId="178" fontId="37" fillId="3" borderId="1" xfId="0" applyNumberFormat="1" applyFont="1" applyFill="1" applyBorder="1" applyAlignment="1">
      <alignment horizontal="left" vertical="top" wrapText="1"/>
    </xf>
    <xf numFmtId="178" fontId="35" fillId="3" borderId="1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 wrapText="1"/>
    </xf>
    <xf numFmtId="177" fontId="38" fillId="3" borderId="1" xfId="0" applyNumberFormat="1" applyFont="1" applyFill="1" applyBorder="1" applyAlignment="1">
      <alignment horizontal="left" vertical="center" wrapText="1"/>
    </xf>
    <xf numFmtId="177" fontId="38" fillId="3" borderId="0" xfId="0" applyNumberFormat="1" applyFont="1" applyFill="1" applyBorder="1" applyAlignment="1">
      <alignment horizontal="left" vertical="center" wrapText="1"/>
    </xf>
    <xf numFmtId="14" fontId="22" fillId="14" borderId="2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center" vertical="center"/>
    </xf>
    <xf numFmtId="0" fontId="34" fillId="14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left" vertical="center" wrapText="1"/>
    </xf>
    <xf numFmtId="14" fontId="33" fillId="14" borderId="2" xfId="0" applyNumberFormat="1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178" fontId="36" fillId="14" borderId="2" xfId="0" applyNumberFormat="1" applyFont="1" applyFill="1" applyBorder="1" applyAlignment="1">
      <alignment horizontal="left" vertical="center" wrapText="1"/>
    </xf>
    <xf numFmtId="178" fontId="36" fillId="0" borderId="5" xfId="0" applyNumberFormat="1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178" fontId="37" fillId="0" borderId="1" xfId="0" applyNumberFormat="1" applyFont="1" applyFill="1" applyBorder="1" applyAlignment="1">
      <alignment horizontal="left" vertical="center" wrapText="1"/>
    </xf>
    <xf numFmtId="178" fontId="37" fillId="0" borderId="1" xfId="0" applyNumberFormat="1" applyFont="1" applyFill="1" applyBorder="1" applyAlignment="1">
      <alignment horizontal="left" vertical="top" wrapText="1"/>
    </xf>
    <xf numFmtId="178" fontId="35" fillId="0" borderId="1" xfId="0" applyNumberFormat="1" applyFont="1" applyFill="1" applyBorder="1" applyAlignment="1">
      <alignment horizontal="center" vertical="center"/>
    </xf>
    <xf numFmtId="178" fontId="35" fillId="0" borderId="3" xfId="0" applyNumberFormat="1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 wrapText="1"/>
    </xf>
    <xf numFmtId="177" fontId="38" fillId="0" borderId="10" xfId="0" applyNumberFormat="1" applyFont="1" applyFill="1" applyBorder="1" applyAlignment="1">
      <alignment horizontal="left" vertical="center" wrapText="1"/>
    </xf>
    <xf numFmtId="177" fontId="38" fillId="0" borderId="0" xfId="0" applyNumberFormat="1" applyFont="1" applyFill="1" applyBorder="1" applyAlignment="1">
      <alignment horizontal="left" vertical="center" wrapText="1"/>
    </xf>
    <xf numFmtId="14" fontId="22" fillId="0" borderId="2" xfId="0" applyNumberFormat="1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left" vertical="center" wrapText="1"/>
    </xf>
    <xf numFmtId="14" fontId="33" fillId="0" borderId="2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14" fontId="33" fillId="0" borderId="1" xfId="0" applyNumberFormat="1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49" fontId="33" fillId="11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/>
    </xf>
    <xf numFmtId="14" fontId="39" fillId="13" borderId="8" xfId="0" applyNumberFormat="1" applyFont="1" applyFill="1" applyBorder="1" applyAlignment="1">
      <alignment horizontal="center" vertical="center" wrapText="1"/>
    </xf>
    <xf numFmtId="178" fontId="39" fillId="21" borderId="3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/>
    </xf>
    <xf numFmtId="178" fontId="33" fillId="21" borderId="1" xfId="0" applyNumberFormat="1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178" fontId="35" fillId="21" borderId="1" xfId="0" applyNumberFormat="1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177" fontId="38" fillId="11" borderId="10" xfId="0" applyNumberFormat="1" applyFont="1" applyFill="1" applyBorder="1" applyAlignment="1">
      <alignment horizontal="center" vertical="center" wrapText="1"/>
    </xf>
    <xf numFmtId="177" fontId="38" fillId="11" borderId="1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>
      <alignment vertical="center"/>
    </xf>
    <xf numFmtId="0" fontId="1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12" fillId="0" borderId="8" xfId="0" applyFont="1" applyFill="1" applyBorder="1">
      <alignment vertical="center"/>
    </xf>
    <xf numFmtId="0" fontId="12" fillId="0" borderId="3" xfId="0" applyFont="1" applyFill="1" applyBorder="1">
      <alignment vertical="center"/>
    </xf>
    <xf numFmtId="14" fontId="33" fillId="10" borderId="1" xfId="0" applyNumberFormat="1" applyFont="1" applyFill="1" applyBorder="1" applyAlignment="1">
      <alignment horizontal="center" vertical="center"/>
    </xf>
    <xf numFmtId="178" fontId="35" fillId="21" borderId="3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>
      <alignment vertical="center"/>
    </xf>
    <xf numFmtId="0" fontId="28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 wrapText="1"/>
    </xf>
    <xf numFmtId="0" fontId="28" fillId="0" borderId="1" xfId="0" applyFont="1" applyFill="1" applyBorder="1">
      <alignment vertical="center"/>
    </xf>
    <xf numFmtId="0" fontId="42" fillId="0" borderId="1" xfId="0" applyFont="1" applyFill="1" applyBorder="1">
      <alignment vertical="center"/>
    </xf>
    <xf numFmtId="0" fontId="43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14" fontId="31" fillId="25" borderId="1" xfId="0" applyNumberFormat="1" applyFont="1" applyFill="1" applyBorder="1" applyAlignment="1">
      <alignment horizontal="center" vertical="center"/>
    </xf>
    <xf numFmtId="14" fontId="43" fillId="13" borderId="9" xfId="0" applyNumberFormat="1" applyFont="1" applyFill="1" applyBorder="1" applyAlignment="1">
      <alignment horizontal="left" vertical="center"/>
    </xf>
    <xf numFmtId="0" fontId="43" fillId="0" borderId="6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left" vertical="center" wrapText="1"/>
    </xf>
    <xf numFmtId="0" fontId="43" fillId="0" borderId="13" xfId="0" applyFont="1" applyFill="1" applyBorder="1" applyAlignment="1">
      <alignment horizontal="center" vertical="center"/>
    </xf>
    <xf numFmtId="14" fontId="28" fillId="0" borderId="14" xfId="0" applyNumberFormat="1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left" vertical="center" wrapText="1"/>
    </xf>
    <xf numFmtId="0" fontId="44" fillId="0" borderId="7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vertical="center" wrapText="1"/>
    </xf>
    <xf numFmtId="0" fontId="44" fillId="0" borderId="7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vertical="center" wrapText="1"/>
    </xf>
    <xf numFmtId="177" fontId="30" fillId="0" borderId="3" xfId="0" applyNumberFormat="1" applyFont="1" applyFill="1" applyBorder="1" applyAlignment="1">
      <alignment horizontal="center" vertical="center" wrapText="1"/>
    </xf>
    <xf numFmtId="177" fontId="43" fillId="0" borderId="6" xfId="0" applyNumberFormat="1" applyFont="1" applyFill="1" applyBorder="1" applyAlignment="1">
      <alignment horizontal="center" vertical="center"/>
    </xf>
    <xf numFmtId="178" fontId="23" fillId="3" borderId="0" xfId="0" applyNumberFormat="1" applyFont="1" applyFill="1" applyAlignment="1">
      <alignment horizontal="left" vertical="top" wrapText="1"/>
    </xf>
    <xf numFmtId="178" fontId="7" fillId="3" borderId="0" xfId="0" applyNumberFormat="1" applyFont="1" applyFill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14" fontId="13" fillId="0" borderId="1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14" fontId="13" fillId="0" borderId="3" xfId="0" applyNumberFormat="1" applyFont="1" applyFill="1" applyBorder="1" applyAlignment="1">
      <alignment horizontal="center" vertical="center"/>
    </xf>
    <xf numFmtId="14" fontId="13" fillId="0" borderId="1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left" vertical="center"/>
    </xf>
    <xf numFmtId="14" fontId="12" fillId="0" borderId="7" xfId="0" applyNumberFormat="1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left" vertical="center" wrapText="1"/>
    </xf>
    <xf numFmtId="14" fontId="0" fillId="0" borderId="6" xfId="0" applyNumberFormat="1" applyFont="1" applyFill="1" applyBorder="1" applyAlignment="1">
      <alignment horizontal="left" vertical="center" wrapText="1"/>
    </xf>
    <xf numFmtId="14" fontId="0" fillId="0" borderId="6" xfId="0" applyNumberFormat="1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 vertical="center" wrapText="1"/>
    </xf>
    <xf numFmtId="14" fontId="0" fillId="0" borderId="9" xfId="0" applyNumberFormat="1" applyFont="1" applyFill="1" applyBorder="1" applyAlignment="1">
      <alignment horizontal="left" vertical="center"/>
    </xf>
    <xf numFmtId="14" fontId="0" fillId="0" borderId="13" xfId="0" applyNumberFormat="1" applyFont="1" applyFill="1" applyBorder="1" applyAlignment="1">
      <alignment horizontal="left" vertical="center" wrapText="1"/>
    </xf>
    <xf numFmtId="0" fontId="0" fillId="3" borderId="1" xfId="0" applyFont="1" applyFill="1" applyBorder="1">
      <alignment vertical="center"/>
    </xf>
    <xf numFmtId="14" fontId="0" fillId="0" borderId="8" xfId="0" applyNumberFormat="1" applyFont="1" applyFill="1" applyBorder="1" applyAlignment="1">
      <alignment horizontal="left" vertical="center"/>
    </xf>
    <xf numFmtId="14" fontId="0" fillId="0" borderId="8" xfId="0" applyNumberFormat="1" applyFont="1" applyFill="1" applyBorder="1" applyAlignment="1">
      <alignment horizontal="left" vertical="center" wrapText="1"/>
    </xf>
    <xf numFmtId="14" fontId="12" fillId="0" borderId="6" xfId="0" applyNumberFormat="1" applyFont="1" applyFill="1" applyBorder="1" applyAlignment="1">
      <alignment horizontal="center" vertical="center"/>
    </xf>
    <xf numFmtId="14" fontId="14" fillId="0" borderId="6" xfId="0" applyNumberFormat="1" applyFont="1" applyFill="1" applyBorder="1" applyAlignment="1">
      <alignment horizontal="left" vertical="center" wrapText="1"/>
    </xf>
    <xf numFmtId="14" fontId="0" fillId="0" borderId="12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14" fontId="0" fillId="0" borderId="11" xfId="0" applyNumberFormat="1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 wrapText="1"/>
    </xf>
    <xf numFmtId="0" fontId="6" fillId="23" borderId="1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2" fillId="0" borderId="14" xfId="0" applyFont="1" applyFill="1" applyBorder="1">
      <alignment vertical="center"/>
    </xf>
    <xf numFmtId="0" fontId="13" fillId="0" borderId="0" xfId="0" applyFont="1" applyFill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7" xfId="0" applyFont="1" applyFill="1" applyBorder="1" applyAlignment="1"/>
    <xf numFmtId="0" fontId="0" fillId="0" borderId="7" xfId="0" applyFont="1" applyFill="1" applyBorder="1" applyAlignment="1"/>
    <xf numFmtId="0" fontId="13" fillId="0" borderId="1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/>
    <xf numFmtId="0" fontId="13" fillId="0" borderId="9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0" fontId="0" fillId="0" borderId="19" xfId="0" applyFont="1" applyFill="1" applyBorder="1">
      <alignment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0" fontId="13" fillId="0" borderId="0" xfId="0" applyFont="1" applyFill="1" applyBorder="1">
      <alignment vertical="center"/>
    </xf>
    <xf numFmtId="0" fontId="13" fillId="0" borderId="11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center" vertical="center" wrapText="1"/>
    </xf>
    <xf numFmtId="0" fontId="23" fillId="26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2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0"/>
        <i val="0"/>
        <strike val="0"/>
      </font>
      <fill>
        <patternFill patternType="solid">
          <bgColor rgb="FF92D050"/>
        </patternFill>
      </fill>
    </dxf>
    <dxf>
      <font>
        <b val="1"/>
        <i val="0"/>
        <strike val="0"/>
        <color rgb="FF595959"/>
      </font>
    </dxf>
    <dxf>
      <font>
        <b val="0"/>
        <i val="0"/>
        <strike val="0"/>
        <color rgb="FFDE322C"/>
      </font>
      <fill>
        <patternFill patternType="solid"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  <color rgb="FFFFFFFF"/>
      </font>
      <fill>
        <patternFill patternType="solid">
          <fgColor rgb="FF00B050"/>
          <bgColor rgb="FF00B050"/>
        </patternFill>
      </fill>
    </dxf>
    <dxf>
      <font>
        <b val="0"/>
        <i val="0"/>
        <strike val="0"/>
      </font>
      <fill>
        <patternFill patternType="solid">
          <fgColor rgb="FF92D050"/>
          <bgColor rgb="FF92D050"/>
        </patternFill>
      </fill>
    </dxf>
    <dxf>
      <font>
        <color rgb="FFDE322C"/>
      </font>
      <fill>
        <patternFill patternType="solid">
          <bgColor rgb="FFFFE9E8"/>
        </patternFill>
      </fill>
    </dxf>
    <dxf>
      <font>
        <b val="0"/>
        <i val="0"/>
        <strike val="0"/>
        <color rgb="FFFFFFFF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3</xdr:row>
      <xdr:rowOff>0</xdr:rowOff>
    </xdr:from>
    <xdr:ext cx="9525" cy="9525"/>
    <xdr:pic>
      <xdr:nvPicPr>
        <xdr:cNvPr id="98" name="图片 97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9525" cy="9525"/>
    <xdr:pic>
      <xdr:nvPicPr>
        <xdr:cNvPr id="99" name="图片 98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9525" cy="9525"/>
    <xdr:pic>
      <xdr:nvPicPr>
        <xdr:cNvPr id="100" name="图片 99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9525" cy="9525"/>
    <xdr:pic>
      <xdr:nvPicPr>
        <xdr:cNvPr id="101" name="图片 100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9525" cy="9525"/>
    <xdr:pic>
      <xdr:nvPicPr>
        <xdr:cNvPr id="102" name="图片 101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9525" cy="9525"/>
    <xdr:pic>
      <xdr:nvPicPr>
        <xdr:cNvPr id="103" name="图片 102"/>
        <xdr:cNvPicPr/>
      </xdr:nvPicPr>
      <xdr:blipFill>
        <a:blip r:embed="rId1" r:link="rId2"/>
        <a:stretch>
          <a:fillRect/>
        </a:stretch>
      </xdr:blipFill>
      <xdr:spPr>
        <a:xfrm>
          <a:off x="7367270" y="1524000"/>
          <a:ext cx="9525" cy="95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7</xdr:row>
      <xdr:rowOff>0</xdr:rowOff>
    </xdr:from>
    <xdr:ext cx="9525" cy="9525"/>
    <xdr:pic>
      <xdr:nvPicPr>
        <xdr:cNvPr id="85" name="图片 84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9525" cy="9525"/>
    <xdr:pic>
      <xdr:nvPicPr>
        <xdr:cNvPr id="86" name="图片 85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9525" cy="9525"/>
    <xdr:pic>
      <xdr:nvPicPr>
        <xdr:cNvPr id="87" name="图片 86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9525" cy="9525"/>
    <xdr:pic>
      <xdr:nvPicPr>
        <xdr:cNvPr id="88" name="图片 87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9525" cy="9525"/>
    <xdr:pic>
      <xdr:nvPicPr>
        <xdr:cNvPr id="89" name="图片 88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9525" cy="9525"/>
    <xdr:pic>
      <xdr:nvPicPr>
        <xdr:cNvPr id="90" name="图片 89"/>
        <xdr:cNvPicPr/>
      </xdr:nvPicPr>
      <xdr:blipFill>
        <a:blip r:embed="rId1" r:link="rId2"/>
        <a:stretch>
          <a:fillRect/>
        </a:stretch>
      </xdr:blipFill>
      <xdr:spPr>
        <a:xfrm>
          <a:off x="9385300" y="4829175"/>
          <a:ext cx="9525" cy="95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558620" cy="333375"/>
    <xdr:pic>
      <xdr:nvPicPr>
        <xdr:cNvPr id="91" name="91"/>
        <xdr:cNvPicPr/>
      </xdr:nvPicPr>
      <xdr:blipFill>
        <a:blip r:embed="rId3" r:link="rId2"/>
        <a:stretch>
          <a:fillRect/>
        </a:stretch>
      </xdr:blipFill>
      <xdr:spPr>
        <a:xfrm>
          <a:off x="15687040" y="4829175"/>
          <a:ext cx="1558290" cy="3333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685925" cy="286203"/>
    <xdr:pic>
      <xdr:nvPicPr>
        <xdr:cNvPr id="92" name="92"/>
        <xdr:cNvPicPr/>
      </xdr:nvPicPr>
      <xdr:blipFill>
        <a:blip r:embed="rId3" r:link="rId2"/>
        <a:stretch>
          <a:fillRect/>
        </a:stretch>
      </xdr:blipFill>
      <xdr:spPr>
        <a:xfrm>
          <a:off x="15687040" y="4829175"/>
          <a:ext cx="1685925" cy="28575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558620" cy="333375"/>
    <xdr:pic>
      <xdr:nvPicPr>
        <xdr:cNvPr id="94" name="94"/>
        <xdr:cNvPicPr/>
      </xdr:nvPicPr>
      <xdr:blipFill>
        <a:blip r:embed="rId3" r:link="rId2"/>
        <a:stretch>
          <a:fillRect/>
        </a:stretch>
      </xdr:blipFill>
      <xdr:spPr>
        <a:xfrm>
          <a:off x="15687040" y="4829175"/>
          <a:ext cx="1558290" cy="3333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32</xdr:row>
      <xdr:rowOff>0</xdr:rowOff>
    </xdr:from>
    <xdr:ext cx="9525" cy="9525"/>
    <xdr:pic>
      <xdr:nvPicPr>
        <xdr:cNvPr id="120" name="图片 119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9525" cy="9525"/>
    <xdr:pic>
      <xdr:nvPicPr>
        <xdr:cNvPr id="121" name="图片 120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9525" cy="9525"/>
    <xdr:pic>
      <xdr:nvPicPr>
        <xdr:cNvPr id="122" name="图片 121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9525" cy="9525"/>
    <xdr:pic>
      <xdr:nvPicPr>
        <xdr:cNvPr id="123" name="图片 122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9525" cy="9525"/>
    <xdr:pic>
      <xdr:nvPicPr>
        <xdr:cNvPr id="124" name="图片 123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9525" cy="9525"/>
    <xdr:pic>
      <xdr:nvPicPr>
        <xdr:cNvPr id="125" name="图片 124"/>
        <xdr:cNvPicPr/>
      </xdr:nvPicPr>
      <xdr:blipFill>
        <a:blip r:embed="rId1" r:link="rId2"/>
        <a:stretch>
          <a:fillRect/>
        </a:stretch>
      </xdr:blipFill>
      <xdr:spPr>
        <a:xfrm>
          <a:off x="6546215" y="11210925"/>
          <a:ext cx="9525" cy="95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102</xdr:row>
      <xdr:rowOff>0</xdr:rowOff>
    </xdr:from>
    <xdr:ext cx="9525" cy="9525"/>
    <xdr:pic>
      <xdr:nvPicPr>
        <xdr:cNvPr id="112" name="图片 111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9525" cy="9525"/>
    <xdr:pic>
      <xdr:nvPicPr>
        <xdr:cNvPr id="113" name="图片 112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9525" cy="9525"/>
    <xdr:pic>
      <xdr:nvPicPr>
        <xdr:cNvPr id="114" name="图片 113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9525" cy="9525"/>
    <xdr:pic>
      <xdr:nvPicPr>
        <xdr:cNvPr id="115" name="图片 114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9525" cy="9525"/>
    <xdr:pic>
      <xdr:nvPicPr>
        <xdr:cNvPr id="116" name="图片 115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9525" cy="9525"/>
    <xdr:pic>
      <xdr:nvPicPr>
        <xdr:cNvPr id="117" name="图片 116"/>
        <xdr:cNvPicPr/>
      </xdr:nvPicPr>
      <xdr:blipFill>
        <a:blip r:embed="rId1" r:link="rId2"/>
        <a:stretch>
          <a:fillRect/>
        </a:stretch>
      </xdr:blipFill>
      <xdr:spPr>
        <a:xfrm>
          <a:off x="7895590" y="34547175"/>
          <a:ext cx="9525" cy="9525"/>
        </a:xfrm>
        <a:prstGeom prst="rect">
          <a:avLst/>
        </a:prstGeom>
      </xdr:spPr>
    </xdr:pic>
    <xdr:clientData/>
  </xdr:oneCellAnchor>
  <xdr:oneCellAnchor>
    <xdr:from>
      <xdr:col>23</xdr:col>
      <xdr:colOff>1241704</xdr:colOff>
      <xdr:row>3</xdr:row>
      <xdr:rowOff>0</xdr:rowOff>
    </xdr:from>
    <xdr:ext cx="555066" cy="333375"/>
    <xdr:pic>
      <xdr:nvPicPr>
        <xdr:cNvPr id="118" name="134"/>
        <xdr:cNvPicPr/>
      </xdr:nvPicPr>
      <xdr:blipFill>
        <a:blip r:embed="rId3" r:link="rId2"/>
        <a:stretch>
          <a:fillRect/>
        </a:stretch>
      </xdr:blipFill>
      <xdr:spPr>
        <a:xfrm>
          <a:off x="26306780" y="1543050"/>
          <a:ext cx="554990" cy="333375"/>
        </a:xfrm>
        <a:prstGeom prst="rect">
          <a:avLst/>
        </a:prstGeom>
      </xdr:spPr>
    </xdr:pic>
    <xdr:clientData/>
  </xdr:oneCellAnchor>
  <xdr:oneCellAnchor>
    <xdr:from>
      <xdr:col>23</xdr:col>
      <xdr:colOff>1241704</xdr:colOff>
      <xdr:row>4</xdr:row>
      <xdr:rowOff>0</xdr:rowOff>
    </xdr:from>
    <xdr:ext cx="555066" cy="333375"/>
    <xdr:pic>
      <xdr:nvPicPr>
        <xdr:cNvPr id="119" name="135"/>
        <xdr:cNvPicPr/>
      </xdr:nvPicPr>
      <xdr:blipFill>
        <a:blip r:embed="rId3" r:link="rId2"/>
        <a:stretch>
          <a:fillRect/>
        </a:stretch>
      </xdr:blipFill>
      <xdr:spPr>
        <a:xfrm>
          <a:off x="26306780" y="1876425"/>
          <a:ext cx="554990" cy="3333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5</xdr:row>
      <xdr:rowOff>0</xdr:rowOff>
    </xdr:from>
    <xdr:ext cx="9525" cy="9525"/>
    <xdr:pic>
      <xdr:nvPicPr>
        <xdr:cNvPr id="109" name="图片 108"/>
        <xdr:cNvPicPr/>
      </xdr:nvPicPr>
      <xdr:blipFill>
        <a:blip r:embed="rId1" r:link="rId2"/>
        <a:stretch>
          <a:fillRect/>
        </a:stretch>
      </xdr:blipFill>
      <xdr:spPr>
        <a:xfrm>
          <a:off x="3980180" y="18573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9525" cy="9525"/>
    <xdr:pic>
      <xdr:nvPicPr>
        <xdr:cNvPr id="110" name="图片 109"/>
        <xdr:cNvPicPr/>
      </xdr:nvPicPr>
      <xdr:blipFill>
        <a:blip r:embed="rId1" r:link="rId2"/>
        <a:stretch>
          <a:fillRect/>
        </a:stretch>
      </xdr:blipFill>
      <xdr:spPr>
        <a:xfrm>
          <a:off x="3980180" y="1857375"/>
          <a:ext cx="9525" cy="9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9525" cy="9525"/>
    <xdr:pic>
      <xdr:nvPicPr>
        <xdr:cNvPr id="111" name="图片 110"/>
        <xdr:cNvPicPr/>
      </xdr:nvPicPr>
      <xdr:blipFill>
        <a:blip r:embed="rId1" r:link="rId2"/>
        <a:stretch>
          <a:fillRect/>
        </a:stretch>
      </xdr:blipFill>
      <xdr:spPr>
        <a:xfrm>
          <a:off x="3980180" y="1857375"/>
          <a:ext cx="9525" cy="9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【成品】滚动安全库存策略">
    <tabColor rgb="FF00B050"/>
  </sheetPr>
  <dimension ref="A1:G200"/>
  <sheetViews>
    <sheetView workbookViewId="0">
      <selection activeCell="A1" sqref="A1"/>
    </sheetView>
  </sheetViews>
  <sheetFormatPr defaultColWidth="13.7115384615385" defaultRowHeight="18" customHeight="1" outlineLevelCol="6"/>
  <cols>
    <col min="1" max="1" width="16.7115384615385" customWidth="1"/>
    <col min="2" max="2" width="13.7115384615385" customWidth="1"/>
    <col min="3" max="3" width="21.7115384615385" customWidth="1"/>
    <col min="4" max="4" width="23.7115384615385" customWidth="1"/>
    <col min="5" max="5" width="17.7115384615385" customWidth="1"/>
    <col min="6" max="6" width="21.7115384615385" customWidth="1"/>
    <col min="7" max="7" width="39.2884615384615" customWidth="1"/>
  </cols>
  <sheetData>
    <row r="1" ht="30.75" customHeight="1" spans="1:7">
      <c r="A1" s="588" t="s">
        <v>0</v>
      </c>
      <c r="B1" s="588" t="s">
        <v>1</v>
      </c>
      <c r="C1" s="589" t="s">
        <v>2</v>
      </c>
      <c r="D1" s="589" t="s">
        <v>3</v>
      </c>
      <c r="E1" s="589" t="s">
        <v>4</v>
      </c>
      <c r="F1" s="589" t="s">
        <v>5</v>
      </c>
      <c r="G1" s="590" t="s">
        <v>6</v>
      </c>
    </row>
    <row r="2" ht="22.5" customHeight="1" spans="1:7">
      <c r="A2" s="591" t="s">
        <v>7</v>
      </c>
      <c r="B2" s="591" t="s">
        <v>8</v>
      </c>
      <c r="C2" s="591" t="s">
        <v>9</v>
      </c>
      <c r="D2" s="591" t="s">
        <v>10</v>
      </c>
      <c r="E2" s="591">
        <v>5</v>
      </c>
      <c r="F2" s="591"/>
      <c r="G2" s="592"/>
    </row>
    <row r="3" ht="22.5" customHeight="1" spans="1:7">
      <c r="A3" s="40"/>
      <c r="B3" s="40"/>
      <c r="C3" s="591" t="s">
        <v>11</v>
      </c>
      <c r="D3" s="591" t="s">
        <v>12</v>
      </c>
      <c r="E3" s="591">
        <v>5</v>
      </c>
      <c r="F3" s="591"/>
      <c r="G3" s="593" t="s">
        <v>13</v>
      </c>
    </row>
    <row r="4" ht="22.5" customHeight="1" spans="1:7">
      <c r="A4" s="40"/>
      <c r="B4" s="40"/>
      <c r="C4" s="591" t="s">
        <v>14</v>
      </c>
      <c r="D4" s="591" t="s">
        <v>15</v>
      </c>
      <c r="E4" s="591">
        <v>5</v>
      </c>
      <c r="F4" s="591"/>
      <c r="G4" s="40"/>
    </row>
    <row r="5" ht="22.5" customHeight="1" spans="1:7">
      <c r="A5" s="40"/>
      <c r="B5" s="40"/>
      <c r="C5" s="591" t="s">
        <v>16</v>
      </c>
      <c r="D5" s="591" t="s">
        <v>17</v>
      </c>
      <c r="E5" s="591">
        <v>5</v>
      </c>
      <c r="F5" s="591"/>
      <c r="G5" s="40"/>
    </row>
    <row r="6" ht="22.5" customHeight="1" spans="1:7">
      <c r="A6" s="40"/>
      <c r="B6" s="40"/>
      <c r="C6" s="591" t="s">
        <v>18</v>
      </c>
      <c r="D6" s="591" t="s">
        <v>19</v>
      </c>
      <c r="E6" s="591">
        <v>5</v>
      </c>
      <c r="F6" s="591"/>
      <c r="G6" s="40"/>
    </row>
    <row r="7" ht="22.5" customHeight="1" spans="1:7">
      <c r="A7" s="40"/>
      <c r="B7" s="40"/>
      <c r="C7" s="591" t="s">
        <v>20</v>
      </c>
      <c r="D7" s="591" t="s">
        <v>21</v>
      </c>
      <c r="E7" s="591">
        <v>5</v>
      </c>
      <c r="F7" s="594"/>
      <c r="G7" s="595"/>
    </row>
    <row r="8" ht="22.5" customHeight="1" spans="1:7">
      <c r="A8" s="40"/>
      <c r="B8" s="591" t="s">
        <v>22</v>
      </c>
      <c r="C8" s="591" t="s">
        <v>23</v>
      </c>
      <c r="D8" s="591" t="s">
        <v>24</v>
      </c>
      <c r="E8" s="591">
        <v>10</v>
      </c>
      <c r="F8" s="591"/>
      <c r="G8" s="592"/>
    </row>
    <row r="9" ht="22.5" customHeight="1" spans="1:7">
      <c r="A9" s="40"/>
      <c r="B9" s="40"/>
      <c r="C9" s="591" t="s">
        <v>25</v>
      </c>
      <c r="D9" s="591" t="s">
        <v>26</v>
      </c>
      <c r="E9" s="591">
        <v>10</v>
      </c>
      <c r="F9" s="591"/>
      <c r="G9" s="592"/>
    </row>
    <row r="10" ht="22.5" customHeight="1" spans="1:7">
      <c r="A10" s="596" t="s">
        <v>27</v>
      </c>
      <c r="B10" s="591" t="s">
        <v>28</v>
      </c>
      <c r="C10" s="591" t="s">
        <v>29</v>
      </c>
      <c r="D10" s="591" t="s">
        <v>30</v>
      </c>
      <c r="E10" s="591">
        <v>10</v>
      </c>
      <c r="F10" s="591"/>
      <c r="G10" s="592" t="s">
        <v>31</v>
      </c>
    </row>
    <row r="11" ht="22.5" customHeight="1" spans="1:7">
      <c r="A11" s="90"/>
      <c r="B11" s="40"/>
      <c r="C11" s="591" t="s">
        <v>32</v>
      </c>
      <c r="D11" s="591" t="s">
        <v>33</v>
      </c>
      <c r="E11" s="591">
        <v>3</v>
      </c>
      <c r="F11" s="591"/>
      <c r="G11" s="592" t="s">
        <v>34</v>
      </c>
    </row>
    <row r="12" ht="22.5" customHeight="1" spans="1:7">
      <c r="A12" s="90"/>
      <c r="B12" s="40"/>
      <c r="C12" s="591" t="s">
        <v>35</v>
      </c>
      <c r="D12" s="591" t="s">
        <v>36</v>
      </c>
      <c r="E12" s="591">
        <v>3</v>
      </c>
      <c r="F12" s="591"/>
      <c r="G12" s="592" t="s">
        <v>37</v>
      </c>
    </row>
    <row r="13" ht="22.5" customHeight="1" spans="1:7">
      <c r="A13" s="90"/>
      <c r="B13" s="591" t="s">
        <v>38</v>
      </c>
      <c r="C13" s="591" t="s">
        <v>39</v>
      </c>
      <c r="D13" s="591" t="s">
        <v>40</v>
      </c>
      <c r="E13" s="591">
        <v>5</v>
      </c>
      <c r="F13" s="591"/>
      <c r="G13" s="592" t="s">
        <v>41</v>
      </c>
    </row>
    <row r="14" ht="22.5" customHeight="1" spans="1:7">
      <c r="A14" s="90"/>
      <c r="B14" s="40"/>
      <c r="C14" s="591" t="s">
        <v>42</v>
      </c>
      <c r="D14" s="591" t="s">
        <v>43</v>
      </c>
      <c r="E14" s="591">
        <v>3</v>
      </c>
      <c r="F14" s="591"/>
      <c r="G14" s="592" t="s">
        <v>37</v>
      </c>
    </row>
    <row r="15" ht="22.5" customHeight="1" spans="1:7">
      <c r="A15" s="90"/>
      <c r="B15" s="591" t="s">
        <v>44</v>
      </c>
      <c r="C15" s="591" t="s">
        <v>45</v>
      </c>
      <c r="D15" s="591" t="s">
        <v>46</v>
      </c>
      <c r="E15" s="591">
        <v>10</v>
      </c>
      <c r="F15" s="591"/>
      <c r="G15" s="592" t="s">
        <v>31</v>
      </c>
    </row>
    <row r="16" ht="22.5" customHeight="1" spans="1:7">
      <c r="A16" s="90"/>
      <c r="B16" s="40"/>
      <c r="C16" s="591" t="s">
        <v>47</v>
      </c>
      <c r="D16" s="591" t="s">
        <v>48</v>
      </c>
      <c r="E16" s="591">
        <v>3</v>
      </c>
      <c r="F16" s="591"/>
      <c r="G16" s="592" t="s">
        <v>34</v>
      </c>
    </row>
    <row r="17" ht="22.5" customHeight="1" spans="1:7">
      <c r="A17" s="90"/>
      <c r="B17" s="40"/>
      <c r="C17" s="591"/>
      <c r="D17" s="591"/>
      <c r="E17" s="591"/>
      <c r="F17" s="591"/>
      <c r="G17" s="592"/>
    </row>
    <row r="18" ht="22.5" customHeight="1" spans="1:7">
      <c r="A18" s="597" t="s">
        <v>49</v>
      </c>
      <c r="B18" s="591" t="s">
        <v>50</v>
      </c>
      <c r="C18" s="591" t="s">
        <v>50</v>
      </c>
      <c r="D18" s="591"/>
      <c r="E18" s="591">
        <v>10</v>
      </c>
      <c r="F18" s="591"/>
      <c r="G18" s="592"/>
    </row>
    <row r="19" ht="22.5" customHeight="1" spans="1:7">
      <c r="A19" s="40"/>
      <c r="B19" s="591" t="s">
        <v>51</v>
      </c>
      <c r="C19" s="591" t="s">
        <v>51</v>
      </c>
      <c r="D19" s="591"/>
      <c r="E19" s="591">
        <v>10</v>
      </c>
      <c r="F19" s="591"/>
      <c r="G19" s="592"/>
    </row>
    <row r="20" ht="22.5" customHeight="1" spans="1:7">
      <c r="A20" s="591" t="s">
        <v>52</v>
      </c>
      <c r="B20" s="591" t="s">
        <v>53</v>
      </c>
      <c r="C20" s="591" t="s">
        <v>53</v>
      </c>
      <c r="D20" s="591"/>
      <c r="E20" s="591">
        <v>7</v>
      </c>
      <c r="F20" s="591"/>
      <c r="G20" s="592"/>
    </row>
    <row r="21" ht="22.5" customHeight="1" spans="1:7">
      <c r="A21" s="40"/>
      <c r="B21" s="591" t="s">
        <v>54</v>
      </c>
      <c r="C21" s="591" t="s">
        <v>54</v>
      </c>
      <c r="D21" s="591"/>
      <c r="E21" s="591">
        <v>5</v>
      </c>
      <c r="F21" s="591"/>
      <c r="G21" s="592"/>
    </row>
    <row r="22" ht="22.5" customHeight="1" spans="1:7">
      <c r="A22" s="591" t="s">
        <v>55</v>
      </c>
      <c r="B22" s="591" t="s">
        <v>56</v>
      </c>
      <c r="C22" s="591" t="s">
        <v>57</v>
      </c>
      <c r="D22" s="591" t="s">
        <v>58</v>
      </c>
      <c r="E22" s="591">
        <v>3</v>
      </c>
      <c r="F22" s="591"/>
      <c r="G22" s="592"/>
    </row>
    <row r="23" ht="22.5" customHeight="1" spans="1:7">
      <c r="A23" s="40"/>
      <c r="B23" s="40"/>
      <c r="C23" s="591" t="s">
        <v>59</v>
      </c>
      <c r="D23" s="591" t="s">
        <v>60</v>
      </c>
      <c r="E23" s="591">
        <v>3</v>
      </c>
      <c r="F23" s="592"/>
      <c r="G23" s="592"/>
    </row>
    <row r="24" ht="22.5" customHeight="1" spans="1:7">
      <c r="A24" s="40"/>
      <c r="B24" s="591" t="s">
        <v>22</v>
      </c>
      <c r="C24" s="591" t="s">
        <v>61</v>
      </c>
      <c r="D24" s="591" t="s">
        <v>62</v>
      </c>
      <c r="E24" s="591">
        <v>3</v>
      </c>
      <c r="F24" s="592"/>
      <c r="G24" s="592"/>
    </row>
    <row r="25" ht="22.5" customHeight="1" spans="1:7">
      <c r="A25" s="592"/>
      <c r="B25" s="592"/>
      <c r="C25" s="592"/>
      <c r="D25" s="591"/>
      <c r="E25" s="591"/>
      <c r="F25" s="592"/>
      <c r="G25" s="592"/>
    </row>
    <row r="26" ht="22.5" customHeight="1" spans="1:7">
      <c r="A26" s="598"/>
      <c r="B26" s="591"/>
      <c r="C26" s="592"/>
      <c r="D26" s="591"/>
      <c r="E26" s="591"/>
      <c r="F26" s="592"/>
      <c r="G26" s="592"/>
    </row>
    <row r="27" ht="22.5" customHeight="1" spans="1:7">
      <c r="A27" s="592"/>
      <c r="B27" s="592"/>
      <c r="C27" s="592"/>
      <c r="D27" s="591"/>
      <c r="E27" s="591"/>
      <c r="F27" s="592"/>
      <c r="G27" s="592"/>
    </row>
    <row r="28" ht="22.5" customHeight="1" spans="1:7">
      <c r="A28" s="592"/>
      <c r="B28" s="592"/>
      <c r="C28" s="592"/>
      <c r="D28" s="591"/>
      <c r="E28" s="591"/>
      <c r="F28" s="592"/>
      <c r="G28" s="592"/>
    </row>
    <row r="29" ht="22.5" customHeight="1" spans="1:7">
      <c r="A29" s="592"/>
      <c r="B29" s="592"/>
      <c r="C29" s="592"/>
      <c r="D29" s="591"/>
      <c r="E29" s="591"/>
      <c r="F29" s="592"/>
      <c r="G29" s="592"/>
    </row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</sheetData>
  <mergeCells count="12">
    <mergeCell ref="A2:A9"/>
    <mergeCell ref="A10:A17"/>
    <mergeCell ref="A18:A19"/>
    <mergeCell ref="A20:A21"/>
    <mergeCell ref="A22:A24"/>
    <mergeCell ref="B2:B7"/>
    <mergeCell ref="B8:B9"/>
    <mergeCell ref="B10:B12"/>
    <mergeCell ref="B13:B14"/>
    <mergeCell ref="B15:B17"/>
    <mergeCell ref="B22:B23"/>
    <mergeCell ref="G3:G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5"/>
  <sheetViews>
    <sheetView workbookViewId="0">
      <selection activeCell="A1" sqref="A1"/>
    </sheetView>
  </sheetViews>
  <sheetFormatPr defaultColWidth="9" defaultRowHeight="15.2"/>
  <sheetData>
    <row r="1" ht="61" spans="1:26">
      <c r="A1" s="528" t="s">
        <v>63</v>
      </c>
      <c r="B1" s="528" t="s">
        <v>64</v>
      </c>
      <c r="C1" s="528" t="s">
        <v>1</v>
      </c>
      <c r="D1" s="529" t="s">
        <v>65</v>
      </c>
      <c r="E1" s="530" t="s">
        <v>66</v>
      </c>
      <c r="F1" s="531" t="s">
        <v>67</v>
      </c>
      <c r="G1" s="37"/>
      <c r="H1" s="532" t="s">
        <v>68</v>
      </c>
      <c r="I1" s="531"/>
      <c r="J1" s="37"/>
      <c r="K1" s="531" t="s">
        <v>69</v>
      </c>
      <c r="L1" s="28" t="s">
        <v>70</v>
      </c>
      <c r="M1" s="28" t="s">
        <v>71</v>
      </c>
    </row>
    <row r="2" ht="61" spans="1:26">
      <c r="A2" s="45"/>
      <c r="B2" s="45"/>
      <c r="C2" s="49"/>
      <c r="D2" s="101"/>
      <c r="E2" s="45"/>
      <c r="F2" s="533" t="s">
        <v>72</v>
      </c>
      <c r="G2" s="534" t="s">
        <v>73</v>
      </c>
      <c r="H2" s="534" t="s">
        <v>74</v>
      </c>
      <c r="I2" s="534" t="s">
        <v>75</v>
      </c>
      <c r="J2" s="534" t="s">
        <v>76</v>
      </c>
      <c r="K2" s="45"/>
      <c r="L2" s="45"/>
      <c r="M2" s="45"/>
    </row>
    <row r="3" ht="350" spans="1:26">
      <c r="A3" s="64" t="s">
        <v>77</v>
      </c>
      <c r="B3" s="535" t="s">
        <v>78</v>
      </c>
      <c r="C3" s="137" t="s">
        <v>79</v>
      </c>
      <c r="D3" s="536" t="s">
        <v>50</v>
      </c>
      <c r="E3" s="322" t="s">
        <v>80</v>
      </c>
      <c r="F3" s="537" t="s">
        <v>81</v>
      </c>
      <c r="G3" s="537" t="s">
        <v>82</v>
      </c>
      <c r="H3" s="538" t="s">
        <v>83</v>
      </c>
      <c r="I3" s="157"/>
      <c r="J3" s="537"/>
      <c r="K3" s="538" t="s">
        <v>84</v>
      </c>
      <c r="L3" s="539" t="s">
        <v>83</v>
      </c>
      <c r="M3" s="152" t="s">
        <v>85</v>
      </c>
    </row>
    <row r="4" ht="16" spans="1:26">
      <c r="A4" s="49"/>
      <c r="B4" s="101"/>
      <c r="C4" s="40"/>
      <c r="D4" s="536" t="s">
        <v>86</v>
      </c>
      <c r="E4" s="49"/>
      <c r="F4" s="87"/>
      <c r="G4" s="87"/>
      <c r="H4" s="540"/>
      <c r="I4" s="157"/>
      <c r="J4" s="537"/>
      <c r="K4" s="101"/>
      <c r="L4" s="539" t="s">
        <v>83</v>
      </c>
      <c r="M4" s="152" t="s">
        <v>85</v>
      </c>
      <c r="N4" s="541"/>
      <c r="O4" s="541"/>
      <c r="P4" s="541"/>
      <c r="Q4" s="541"/>
      <c r="R4" s="541"/>
      <c r="S4" s="541"/>
      <c r="T4" s="541"/>
      <c r="U4" s="541"/>
      <c r="V4" s="541"/>
      <c r="W4" s="541"/>
      <c r="X4" s="541"/>
      <c r="Y4" s="541"/>
      <c r="Z4" s="541"/>
    </row>
    <row r="5" ht="16" spans="1:26">
      <c r="A5" s="49"/>
      <c r="B5" s="101"/>
      <c r="C5" s="137" t="s">
        <v>87</v>
      </c>
      <c r="D5" s="536" t="s">
        <v>87</v>
      </c>
      <c r="E5" s="49"/>
      <c r="F5" s="87"/>
      <c r="G5" s="87"/>
      <c r="H5" s="540"/>
      <c r="I5" s="157"/>
      <c r="J5" s="537"/>
      <c r="K5" s="44"/>
      <c r="L5" s="539" t="s">
        <v>83</v>
      </c>
      <c r="M5" s="152" t="s">
        <v>85</v>
      </c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</row>
    <row r="6" ht="16" spans="1:26">
      <c r="A6" s="49"/>
      <c r="B6" s="101"/>
      <c r="C6" s="137" t="s">
        <v>51</v>
      </c>
      <c r="D6" s="536" t="s">
        <v>51</v>
      </c>
      <c r="E6" s="49"/>
      <c r="F6" s="87"/>
      <c r="G6" s="87"/>
      <c r="H6" s="540"/>
      <c r="I6" s="157"/>
      <c r="J6" s="537"/>
      <c r="K6" s="44"/>
      <c r="L6" s="539" t="s">
        <v>83</v>
      </c>
      <c r="M6" s="152" t="s">
        <v>85</v>
      </c>
      <c r="N6" s="541"/>
      <c r="O6" s="541"/>
      <c r="P6" s="541"/>
      <c r="Q6" s="541"/>
      <c r="R6" s="541"/>
      <c r="S6" s="541"/>
      <c r="T6" s="541"/>
      <c r="U6" s="541"/>
      <c r="V6" s="541"/>
      <c r="W6" s="541"/>
      <c r="X6" s="541"/>
      <c r="Y6" s="541"/>
      <c r="Z6" s="541"/>
    </row>
    <row r="7" spans="1:26">
      <c r="A7" s="49"/>
      <c r="B7" s="101"/>
      <c r="C7" s="542" t="s">
        <v>88</v>
      </c>
      <c r="D7" s="543" t="s">
        <v>89</v>
      </c>
      <c r="E7" s="49"/>
      <c r="F7" s="87"/>
      <c r="G7" s="87"/>
      <c r="H7" s="540"/>
      <c r="I7" s="157"/>
      <c r="J7" s="537"/>
      <c r="K7" s="44"/>
      <c r="L7" s="539" t="s">
        <v>83</v>
      </c>
      <c r="M7" s="152" t="s">
        <v>85</v>
      </c>
    </row>
    <row r="8" spans="1:26">
      <c r="A8" s="49"/>
      <c r="B8" s="101"/>
      <c r="C8" s="45"/>
      <c r="D8" s="543" t="s">
        <v>90</v>
      </c>
      <c r="E8" s="49"/>
      <c r="F8" s="87"/>
      <c r="G8" s="87"/>
      <c r="H8" s="540"/>
      <c r="I8" s="542"/>
      <c r="J8" s="537"/>
      <c r="K8" s="44"/>
      <c r="L8" s="539" t="s">
        <v>83</v>
      </c>
      <c r="M8" s="152" t="s">
        <v>85</v>
      </c>
      <c r="N8" s="541"/>
      <c r="O8" s="541"/>
      <c r="P8" s="541"/>
      <c r="Q8" s="541"/>
      <c r="R8" s="541"/>
      <c r="S8" s="541"/>
      <c r="T8" s="541"/>
      <c r="U8" s="541"/>
      <c r="V8" s="541"/>
      <c r="W8" s="541"/>
      <c r="X8" s="541"/>
      <c r="Y8" s="541"/>
      <c r="Z8" s="541"/>
    </row>
    <row r="9" ht="335" spans="1:26">
      <c r="A9" s="65" t="s">
        <v>91</v>
      </c>
      <c r="B9" s="270" t="s">
        <v>92</v>
      </c>
      <c r="C9" s="244" t="s">
        <v>93</v>
      </c>
      <c r="D9" s="539" t="s">
        <v>94</v>
      </c>
      <c r="E9" s="544" t="s">
        <v>95</v>
      </c>
      <c r="F9" s="542" t="s">
        <v>83</v>
      </c>
      <c r="G9" s="542" t="s">
        <v>82</v>
      </c>
      <c r="H9" s="538" t="s">
        <v>83</v>
      </c>
      <c r="I9" s="545"/>
      <c r="J9" s="545"/>
      <c r="K9" s="158"/>
      <c r="L9" s="546" t="s">
        <v>96</v>
      </c>
      <c r="M9" s="157" t="s">
        <v>97</v>
      </c>
    </row>
    <row r="10" ht="46" spans="1:26">
      <c r="A10" s="49"/>
      <c r="B10" s="49"/>
      <c r="C10" s="238" t="s">
        <v>98</v>
      </c>
      <c r="D10" s="547" t="s">
        <v>99</v>
      </c>
      <c r="E10" s="101"/>
      <c r="F10" s="49"/>
      <c r="G10" s="49"/>
      <c r="H10" s="101"/>
      <c r="I10" s="40"/>
      <c r="J10" s="40"/>
      <c r="K10" s="270"/>
      <c r="L10" s="548" t="s">
        <v>96</v>
      </c>
      <c r="M10" s="542" t="s">
        <v>97</v>
      </c>
    </row>
    <row r="11" ht="46" spans="1:26">
      <c r="A11" s="64"/>
      <c r="B11" s="301"/>
      <c r="C11" s="238" t="s">
        <v>100</v>
      </c>
      <c r="D11" s="547" t="s">
        <v>101</v>
      </c>
      <c r="E11" s="101"/>
      <c r="F11" s="49"/>
      <c r="G11" s="49"/>
      <c r="H11" s="73"/>
      <c r="I11" s="40"/>
      <c r="J11" s="46"/>
      <c r="K11" s="158"/>
      <c r="L11" s="157" t="s">
        <v>96</v>
      </c>
      <c r="M11" s="157" t="s">
        <v>97</v>
      </c>
    </row>
    <row r="12" spans="1:26">
      <c r="A12" s="49"/>
      <c r="B12" s="49"/>
      <c r="C12" s="542" t="s">
        <v>102</v>
      </c>
      <c r="D12" s="543"/>
      <c r="E12" s="324"/>
      <c r="F12" s="45"/>
      <c r="G12" s="45"/>
      <c r="H12" s="158" t="s">
        <v>83</v>
      </c>
      <c r="I12" s="549"/>
      <c r="J12" s="550"/>
      <c r="K12" s="158"/>
      <c r="L12" s="157" t="s">
        <v>96</v>
      </c>
      <c r="M12" s="157" t="s">
        <v>97</v>
      </c>
    </row>
    <row r="13" ht="137" spans="1:26">
      <c r="A13" s="65" t="s">
        <v>7</v>
      </c>
      <c r="B13" s="538" t="s">
        <v>92</v>
      </c>
      <c r="C13" s="52" t="s">
        <v>8</v>
      </c>
      <c r="D13" s="551" t="s">
        <v>103</v>
      </c>
      <c r="E13" s="552" t="s">
        <v>104</v>
      </c>
      <c r="F13" s="537" t="s">
        <v>83</v>
      </c>
      <c r="G13" s="548" t="s">
        <v>82</v>
      </c>
      <c r="H13" s="270" t="s">
        <v>81</v>
      </c>
      <c r="I13" s="542"/>
      <c r="J13" s="543"/>
      <c r="K13" s="158"/>
      <c r="L13" s="157"/>
      <c r="M13" s="157"/>
      <c r="N13" s="541"/>
      <c r="O13" s="541"/>
      <c r="P13" s="541"/>
      <c r="Q13" s="541"/>
      <c r="R13" s="541"/>
      <c r="S13" s="541"/>
      <c r="T13" s="541"/>
      <c r="U13" s="541"/>
      <c r="V13" s="541"/>
      <c r="W13" s="541"/>
      <c r="X13" s="541"/>
      <c r="Y13" s="541"/>
      <c r="Z13" s="541"/>
    </row>
    <row r="14" spans="1:26">
      <c r="A14" s="49"/>
      <c r="B14" s="101"/>
      <c r="C14" s="52" t="s">
        <v>105</v>
      </c>
      <c r="D14" s="551"/>
      <c r="E14" s="87"/>
      <c r="F14" s="87"/>
      <c r="G14" s="551"/>
      <c r="H14" s="222"/>
      <c r="I14" s="49"/>
      <c r="J14" s="543"/>
      <c r="K14" s="158"/>
      <c r="L14" s="157" t="s">
        <v>96</v>
      </c>
      <c r="M14" s="157" t="s">
        <v>97</v>
      </c>
      <c r="N14" s="541"/>
      <c r="O14" s="541"/>
      <c r="P14" s="541"/>
      <c r="Q14" s="541"/>
      <c r="R14" s="541"/>
      <c r="S14" s="541"/>
      <c r="T14" s="541"/>
      <c r="U14" s="541"/>
      <c r="V14" s="541"/>
      <c r="W14" s="541"/>
      <c r="X14" s="541"/>
      <c r="Y14" s="541"/>
      <c r="Z14" s="541"/>
    </row>
    <row r="15" spans="1:26">
      <c r="A15" s="49"/>
      <c r="B15" s="101"/>
      <c r="C15" s="52" t="s">
        <v>22</v>
      </c>
      <c r="D15" s="553" t="s">
        <v>106</v>
      </c>
      <c r="E15" s="49"/>
      <c r="F15" s="87"/>
      <c r="G15" s="551"/>
      <c r="H15" s="222"/>
      <c r="I15" s="49"/>
      <c r="J15" s="543"/>
      <c r="K15" s="158"/>
      <c r="L15" s="157" t="s">
        <v>96</v>
      </c>
      <c r="M15" s="157" t="s">
        <v>97</v>
      </c>
      <c r="N15" s="541"/>
      <c r="O15" s="541"/>
      <c r="P15" s="541"/>
      <c r="Q15" s="541"/>
      <c r="R15" s="541"/>
      <c r="S15" s="541"/>
      <c r="T15" s="541"/>
      <c r="U15" s="541"/>
      <c r="V15" s="541"/>
      <c r="W15" s="541"/>
      <c r="X15" s="541"/>
      <c r="Y15" s="541"/>
      <c r="Z15" s="541"/>
    </row>
    <row r="16" spans="1:26">
      <c r="A16" s="49"/>
      <c r="B16" s="73"/>
      <c r="C16" s="79" t="s">
        <v>107</v>
      </c>
      <c r="D16" s="77" t="s">
        <v>108</v>
      </c>
      <c r="E16" s="49"/>
      <c r="F16" s="49"/>
      <c r="G16" s="542"/>
      <c r="H16" s="222"/>
      <c r="I16" s="49"/>
      <c r="J16" s="542"/>
      <c r="K16" s="508"/>
      <c r="L16" s="539"/>
      <c r="M16" s="152"/>
      <c r="N16" s="541"/>
      <c r="O16" s="541"/>
      <c r="P16" s="541"/>
      <c r="Q16" s="541"/>
      <c r="R16" s="541"/>
      <c r="S16" s="541"/>
      <c r="T16" s="541"/>
      <c r="U16" s="541"/>
      <c r="V16" s="541"/>
      <c r="W16" s="541"/>
      <c r="X16" s="541"/>
      <c r="Y16" s="541"/>
      <c r="Z16" s="541"/>
    </row>
    <row r="17" ht="335" spans="1:26">
      <c r="A17" s="49"/>
      <c r="B17" s="538" t="s">
        <v>78</v>
      </c>
      <c r="C17" s="52" t="s">
        <v>8</v>
      </c>
      <c r="D17" s="94" t="s">
        <v>109</v>
      </c>
      <c r="E17" s="266" t="s">
        <v>110</v>
      </c>
      <c r="F17" s="157" t="s">
        <v>83</v>
      </c>
      <c r="G17" s="157" t="s">
        <v>82</v>
      </c>
      <c r="H17" s="158" t="s">
        <v>83</v>
      </c>
      <c r="I17" s="157"/>
      <c r="J17" s="157"/>
      <c r="K17" s="158"/>
      <c r="L17" s="546" t="s">
        <v>96</v>
      </c>
      <c r="M17" s="157" t="s">
        <v>97</v>
      </c>
      <c r="N17" s="541"/>
      <c r="O17" s="541"/>
      <c r="P17" s="541"/>
      <c r="Q17" s="541"/>
      <c r="R17" s="541"/>
      <c r="S17" s="541"/>
      <c r="T17" s="541"/>
      <c r="U17" s="541"/>
      <c r="V17" s="541"/>
      <c r="W17" s="541"/>
      <c r="X17" s="541"/>
      <c r="Y17" s="541"/>
      <c r="Z17" s="541"/>
    </row>
    <row r="18" spans="1:26">
      <c r="A18" s="49"/>
      <c r="B18" s="101"/>
      <c r="C18" s="52" t="s">
        <v>105</v>
      </c>
      <c r="D18" s="157"/>
      <c r="E18" s="40"/>
      <c r="F18" s="40"/>
      <c r="G18" s="157"/>
      <c r="H18" s="471"/>
      <c r="I18" s="40"/>
      <c r="J18" s="157"/>
      <c r="K18" s="158"/>
      <c r="L18" s="546" t="s">
        <v>96</v>
      </c>
      <c r="M18" s="157" t="s">
        <v>97</v>
      </c>
      <c r="N18" s="541"/>
      <c r="O18" s="541"/>
      <c r="P18" s="541"/>
      <c r="Q18" s="541"/>
      <c r="R18" s="541"/>
      <c r="S18" s="541"/>
      <c r="T18" s="541"/>
      <c r="U18" s="541"/>
      <c r="V18" s="541"/>
      <c r="W18" s="541"/>
      <c r="X18" s="541"/>
      <c r="Y18" s="541"/>
      <c r="Z18" s="541"/>
    </row>
    <row r="19" spans="1:26">
      <c r="A19" s="49"/>
      <c r="B19" s="101"/>
      <c r="C19" s="52" t="s">
        <v>22</v>
      </c>
      <c r="D19" s="52" t="s">
        <v>106</v>
      </c>
      <c r="E19" s="40"/>
      <c r="F19" s="40"/>
      <c r="G19" s="157"/>
      <c r="H19" s="471"/>
      <c r="I19" s="40"/>
      <c r="J19" s="157"/>
      <c r="K19" s="158"/>
      <c r="L19" s="548" t="s">
        <v>96</v>
      </c>
      <c r="M19" s="157" t="s">
        <v>97</v>
      </c>
      <c r="N19" s="541"/>
      <c r="O19" s="541"/>
      <c r="P19" s="541"/>
      <c r="Q19" s="541"/>
      <c r="R19" s="541"/>
      <c r="S19" s="541"/>
      <c r="T19" s="541"/>
      <c r="U19" s="541"/>
      <c r="V19" s="541"/>
      <c r="W19" s="541"/>
      <c r="X19" s="541"/>
      <c r="Y19" s="541"/>
      <c r="Z19" s="541"/>
    </row>
    <row r="20" spans="1:26">
      <c r="A20" s="49"/>
      <c r="B20" s="101"/>
      <c r="C20" s="52" t="s">
        <v>107</v>
      </c>
      <c r="D20" s="52" t="s">
        <v>108</v>
      </c>
      <c r="E20" s="40"/>
      <c r="F20" s="40"/>
      <c r="G20" s="157"/>
      <c r="H20" s="471"/>
      <c r="I20" s="40"/>
      <c r="J20" s="157"/>
      <c r="K20" s="158"/>
      <c r="L20" s="126" t="s">
        <v>111</v>
      </c>
      <c r="M20" s="157" t="s">
        <v>97</v>
      </c>
      <c r="N20" s="541"/>
      <c r="O20" s="541"/>
      <c r="P20" s="541"/>
      <c r="Q20" s="541"/>
      <c r="R20" s="541"/>
      <c r="S20" s="541"/>
      <c r="T20" s="541"/>
      <c r="U20" s="541"/>
      <c r="V20" s="541"/>
      <c r="W20" s="541"/>
      <c r="X20" s="541"/>
      <c r="Y20" s="541"/>
      <c r="Z20" s="541"/>
    </row>
    <row r="21" ht="107" spans="1:26">
      <c r="A21" s="534" t="s">
        <v>112</v>
      </c>
      <c r="B21" s="270" t="s">
        <v>92</v>
      </c>
      <c r="C21" s="152" t="s">
        <v>56</v>
      </c>
      <c r="D21" s="244" t="s">
        <v>113</v>
      </c>
      <c r="E21" s="554"/>
      <c r="F21" s="555" t="s">
        <v>83</v>
      </c>
      <c r="G21" s="556" t="s">
        <v>82</v>
      </c>
      <c r="H21" s="535" t="s">
        <v>83</v>
      </c>
      <c r="I21" s="557" t="s">
        <v>114</v>
      </c>
      <c r="J21" s="558"/>
      <c r="K21" s="154"/>
      <c r="L21" s="157" t="s">
        <v>96</v>
      </c>
      <c r="M21" s="537" t="s">
        <v>97</v>
      </c>
      <c r="N21" s="541"/>
      <c r="O21" s="541"/>
      <c r="P21" s="541"/>
      <c r="Q21" s="541"/>
      <c r="R21" s="541"/>
      <c r="S21" s="541"/>
      <c r="T21" s="541"/>
      <c r="U21" s="541"/>
      <c r="V21" s="541"/>
      <c r="W21" s="541"/>
      <c r="X21" s="541"/>
      <c r="Y21" s="541"/>
      <c r="Z21" s="541"/>
    </row>
    <row r="22" ht="31" spans="1:26">
      <c r="A22" s="40"/>
      <c r="B22" s="49"/>
      <c r="C22" s="157" t="s">
        <v>22</v>
      </c>
      <c r="D22" s="53" t="s">
        <v>115</v>
      </c>
      <c r="E22" s="559"/>
      <c r="F22" s="44"/>
      <c r="G22" s="101"/>
      <c r="H22" s="101"/>
      <c r="I22" s="49"/>
      <c r="J22" s="551"/>
      <c r="K22" s="158"/>
      <c r="L22" s="40"/>
      <c r="M22" s="87"/>
      <c r="N22" s="541"/>
      <c r="O22" s="541"/>
      <c r="P22" s="541"/>
      <c r="Q22" s="541"/>
      <c r="R22" s="541"/>
      <c r="S22" s="541"/>
      <c r="T22" s="541"/>
      <c r="U22" s="541"/>
      <c r="V22" s="541"/>
      <c r="W22" s="541"/>
      <c r="X22" s="541"/>
      <c r="Y22" s="541"/>
      <c r="Z22" s="541"/>
    </row>
    <row r="23" spans="1:26">
      <c r="A23" s="534"/>
      <c r="B23" s="49"/>
      <c r="C23" s="157" t="s">
        <v>116</v>
      </c>
      <c r="D23" s="137"/>
      <c r="E23" s="559"/>
      <c r="F23" s="555"/>
      <c r="G23" s="556"/>
      <c r="H23" s="101"/>
      <c r="I23" s="49"/>
      <c r="J23" s="537"/>
      <c r="K23" s="158"/>
      <c r="L23" s="157"/>
      <c r="M23" s="560"/>
      <c r="N23" s="541"/>
      <c r="O23" s="541"/>
      <c r="P23" s="541"/>
      <c r="Q23" s="541"/>
      <c r="R23" s="541"/>
      <c r="S23" s="541"/>
      <c r="T23" s="541"/>
      <c r="U23" s="541"/>
      <c r="V23" s="541"/>
      <c r="W23" s="541"/>
      <c r="X23" s="541"/>
      <c r="Y23" s="541"/>
      <c r="Z23" s="541"/>
    </row>
    <row r="24" spans="1:26">
      <c r="A24" s="534"/>
      <c r="B24" s="45"/>
      <c r="C24" s="157" t="s">
        <v>117</v>
      </c>
      <c r="D24" s="137"/>
      <c r="E24" s="559"/>
      <c r="F24" s="555"/>
      <c r="G24" s="556"/>
      <c r="H24" s="73"/>
      <c r="I24" s="45"/>
      <c r="J24" s="537"/>
      <c r="K24" s="158"/>
      <c r="L24" s="157"/>
      <c r="M24" s="560"/>
      <c r="N24" s="541"/>
      <c r="O24" s="541"/>
      <c r="P24" s="541"/>
      <c r="Q24" s="541"/>
      <c r="R24" s="541"/>
      <c r="S24" s="541"/>
      <c r="T24" s="541"/>
      <c r="U24" s="541"/>
      <c r="V24" s="541"/>
      <c r="W24" s="541"/>
      <c r="X24" s="541"/>
      <c r="Y24" s="541"/>
      <c r="Z24" s="541"/>
    </row>
    <row r="25" ht="107" spans="1:26">
      <c r="A25" s="40"/>
      <c r="B25" s="158" t="s">
        <v>78</v>
      </c>
      <c r="C25" s="52" t="s">
        <v>56</v>
      </c>
      <c r="D25" s="137" t="s">
        <v>113</v>
      </c>
      <c r="E25" s="559"/>
      <c r="F25" s="555"/>
      <c r="G25" s="101"/>
      <c r="H25" s="561" t="s">
        <v>118</v>
      </c>
      <c r="I25" s="137" t="s">
        <v>119</v>
      </c>
      <c r="J25" s="537"/>
      <c r="K25" s="158"/>
      <c r="L25" s="40"/>
      <c r="M25" s="87"/>
      <c r="N25" s="541"/>
      <c r="O25" s="541"/>
      <c r="P25" s="541"/>
      <c r="Q25" s="541"/>
      <c r="R25" s="541"/>
      <c r="S25" s="541"/>
      <c r="T25" s="541"/>
      <c r="U25" s="541"/>
      <c r="V25" s="541"/>
      <c r="W25" s="541"/>
      <c r="X25" s="541"/>
      <c r="Y25" s="541"/>
      <c r="Z25" s="541"/>
    </row>
    <row r="26" ht="31" spans="1:26">
      <c r="A26" s="534"/>
      <c r="B26" s="158"/>
      <c r="C26" s="79" t="s">
        <v>22</v>
      </c>
      <c r="D26" s="88" t="s">
        <v>115</v>
      </c>
      <c r="E26" s="559"/>
      <c r="F26" s="555"/>
      <c r="G26" s="556"/>
      <c r="H26" s="561" t="s">
        <v>118</v>
      </c>
      <c r="I26" s="238"/>
      <c r="J26" s="537"/>
      <c r="K26" s="158"/>
      <c r="L26" s="157"/>
      <c r="M26" s="560"/>
      <c r="N26" s="541"/>
      <c r="O26" s="541"/>
      <c r="P26" s="541"/>
      <c r="Q26" s="541"/>
      <c r="R26" s="541"/>
      <c r="S26" s="541"/>
      <c r="T26" s="541"/>
      <c r="U26" s="541"/>
      <c r="V26" s="541"/>
      <c r="W26" s="541"/>
      <c r="X26" s="541"/>
      <c r="Y26" s="541"/>
      <c r="Z26" s="541"/>
    </row>
    <row r="27" spans="1:26">
      <c r="A27" s="40"/>
      <c r="B27" s="40"/>
      <c r="C27" s="157" t="s">
        <v>120</v>
      </c>
      <c r="D27" s="157" t="s">
        <v>121</v>
      </c>
      <c r="E27" s="559"/>
      <c r="F27" s="44"/>
      <c r="G27" s="101"/>
      <c r="H27" s="561" t="s">
        <v>118</v>
      </c>
      <c r="I27" s="89"/>
      <c r="J27" s="537"/>
      <c r="K27" s="158"/>
      <c r="L27" s="40"/>
      <c r="M27" s="87"/>
      <c r="N27" s="541"/>
      <c r="O27" s="541"/>
      <c r="P27" s="541"/>
      <c r="Q27" s="541"/>
      <c r="R27" s="541"/>
      <c r="S27" s="541"/>
      <c r="T27" s="541"/>
      <c r="U27" s="541"/>
      <c r="V27" s="541"/>
      <c r="W27" s="541"/>
      <c r="X27" s="541"/>
      <c r="Y27" s="541"/>
      <c r="Z27" s="541"/>
    </row>
    <row r="28" spans="1:26">
      <c r="A28" s="65" t="s">
        <v>122</v>
      </c>
      <c r="B28" s="538" t="s">
        <v>92</v>
      </c>
      <c r="C28" s="557" t="s">
        <v>28</v>
      </c>
      <c r="D28" s="562" t="s">
        <v>123</v>
      </c>
      <c r="E28" s="559"/>
      <c r="F28" s="158" t="s">
        <v>83</v>
      </c>
      <c r="G28" s="137"/>
      <c r="H28" s="70" t="s">
        <v>83</v>
      </c>
      <c r="I28" s="137"/>
      <c r="J28" s="137"/>
      <c r="K28" s="154"/>
      <c r="L28" s="563" t="s">
        <v>83</v>
      </c>
      <c r="M28" s="158" t="s">
        <v>97</v>
      </c>
      <c r="N28" s="541"/>
      <c r="O28" s="541"/>
      <c r="P28" s="541"/>
      <c r="Q28" s="541"/>
      <c r="R28" s="541"/>
      <c r="S28" s="541"/>
      <c r="T28" s="541"/>
      <c r="U28" s="541"/>
      <c r="V28" s="541"/>
      <c r="W28" s="541"/>
      <c r="X28" s="541"/>
      <c r="Y28" s="541"/>
      <c r="Z28" s="541"/>
    </row>
    <row r="29" spans="1:26">
      <c r="A29" s="564"/>
      <c r="B29" s="49"/>
      <c r="C29" s="157" t="s">
        <v>38</v>
      </c>
      <c r="D29" s="543" t="s">
        <v>124</v>
      </c>
      <c r="E29" s="559"/>
      <c r="F29" s="158" t="s">
        <v>83</v>
      </c>
      <c r="G29" s="137"/>
      <c r="H29" s="70" t="s">
        <v>83</v>
      </c>
      <c r="I29" s="137"/>
      <c r="J29" s="137"/>
      <c r="K29" s="158"/>
      <c r="L29" s="563" t="s">
        <v>83</v>
      </c>
      <c r="M29" s="158" t="s">
        <v>97</v>
      </c>
      <c r="N29" s="541"/>
      <c r="O29" s="541"/>
      <c r="P29" s="541"/>
      <c r="Q29" s="541"/>
      <c r="R29" s="541"/>
      <c r="S29" s="541"/>
      <c r="T29" s="541"/>
      <c r="U29" s="541"/>
      <c r="V29" s="541"/>
      <c r="W29" s="541"/>
      <c r="X29" s="541"/>
      <c r="Y29" s="541"/>
      <c r="Z29" s="541"/>
    </row>
    <row r="30" spans="1:26">
      <c r="A30" s="49"/>
      <c r="B30" s="49"/>
      <c r="C30" s="157" t="s">
        <v>105</v>
      </c>
      <c r="D30" s="105" t="s">
        <v>125</v>
      </c>
      <c r="E30" s="559"/>
      <c r="F30" s="158" t="s">
        <v>83</v>
      </c>
      <c r="G30" s="137"/>
      <c r="H30" s="70" t="s">
        <v>83</v>
      </c>
      <c r="I30" s="137"/>
      <c r="J30" s="137"/>
      <c r="K30" s="158"/>
      <c r="L30" s="563" t="s">
        <v>83</v>
      </c>
      <c r="M30" s="158" t="s">
        <v>97</v>
      </c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  <c r="Y30" s="541"/>
      <c r="Z30" s="541"/>
    </row>
    <row r="31" spans="1:26">
      <c r="A31" s="49"/>
      <c r="B31" s="45"/>
      <c r="C31" s="542" t="s">
        <v>126</v>
      </c>
      <c r="D31" s="543" t="s">
        <v>127</v>
      </c>
      <c r="E31" s="276"/>
      <c r="F31" s="157" t="s">
        <v>83</v>
      </c>
      <c r="G31" s="157"/>
      <c r="H31" s="70" t="s">
        <v>83</v>
      </c>
      <c r="I31" s="137"/>
      <c r="J31" s="137"/>
      <c r="K31" s="158"/>
      <c r="L31" s="561" t="s">
        <v>83</v>
      </c>
      <c r="M31" s="158" t="s">
        <v>97</v>
      </c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  <c r="Y31" s="541"/>
      <c r="Z31" s="541"/>
    </row>
    <row r="32" spans="1:26">
      <c r="A32" s="49"/>
      <c r="B32" s="270" t="s">
        <v>78</v>
      </c>
      <c r="C32" s="564"/>
      <c r="D32" s="105" t="s">
        <v>127</v>
      </c>
      <c r="E32" s="559"/>
      <c r="F32" s="158" t="s">
        <v>83</v>
      </c>
      <c r="G32" s="137"/>
      <c r="H32" s="70" t="s">
        <v>83</v>
      </c>
      <c r="I32" s="157"/>
      <c r="J32" s="157"/>
      <c r="K32" s="158"/>
      <c r="L32" s="561" t="s">
        <v>83</v>
      </c>
      <c r="M32" s="158" t="s">
        <v>97</v>
      </c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  <c r="Y32" s="541"/>
      <c r="Z32" s="541"/>
    </row>
    <row r="33" spans="1:26">
      <c r="A33" s="49"/>
      <c r="B33" s="45"/>
      <c r="C33" s="565"/>
      <c r="D33" s="105" t="s">
        <v>128</v>
      </c>
      <c r="E33" s="559"/>
      <c r="F33" s="158" t="s">
        <v>83</v>
      </c>
      <c r="G33" s="137"/>
      <c r="H33" s="70" t="s">
        <v>83</v>
      </c>
      <c r="I33" s="137"/>
      <c r="J33" s="157"/>
      <c r="K33" s="158"/>
      <c r="L33" s="543" t="s">
        <v>83</v>
      </c>
      <c r="M33" s="157" t="s">
        <v>97</v>
      </c>
      <c r="N33" s="541"/>
      <c r="O33" s="541"/>
      <c r="P33" s="541"/>
      <c r="Q33" s="541"/>
      <c r="R33" s="541"/>
      <c r="S33" s="541"/>
      <c r="T33" s="541"/>
      <c r="U33" s="541"/>
      <c r="V33" s="541"/>
      <c r="W33" s="541"/>
      <c r="X33" s="541"/>
      <c r="Y33" s="541"/>
      <c r="Z33" s="541"/>
    </row>
    <row r="34" spans="1:26">
      <c r="A34" s="45"/>
      <c r="B34" s="158" t="s">
        <v>92</v>
      </c>
      <c r="C34" s="52" t="s">
        <v>120</v>
      </c>
      <c r="D34" s="105" t="s">
        <v>129</v>
      </c>
      <c r="E34" s="559"/>
      <c r="F34" s="158" t="s">
        <v>83</v>
      </c>
      <c r="G34" s="137"/>
      <c r="H34" s="70" t="s">
        <v>83</v>
      </c>
      <c r="I34" s="157"/>
      <c r="J34" s="157"/>
      <c r="K34" s="158"/>
      <c r="L34" s="543" t="s">
        <v>83</v>
      </c>
      <c r="M34" s="157" t="s">
        <v>97</v>
      </c>
      <c r="N34" s="541"/>
      <c r="O34" s="541"/>
      <c r="P34" s="541"/>
      <c r="Q34" s="541"/>
      <c r="R34" s="541"/>
      <c r="S34" s="541"/>
      <c r="T34" s="541"/>
      <c r="U34" s="541"/>
      <c r="V34" s="541"/>
      <c r="W34" s="541"/>
      <c r="X34" s="541"/>
      <c r="Y34" s="541"/>
      <c r="Z34" s="541"/>
    </row>
    <row r="35" ht="122" spans="1:26">
      <c r="A35" s="64" t="s">
        <v>130</v>
      </c>
      <c r="B35" s="301" t="s">
        <v>92</v>
      </c>
      <c r="C35" s="152" t="s">
        <v>22</v>
      </c>
      <c r="D35" s="152" t="s">
        <v>22</v>
      </c>
      <c r="E35" s="566" t="s">
        <v>131</v>
      </c>
      <c r="F35" s="560" t="s">
        <v>83</v>
      </c>
      <c r="G35" s="558"/>
      <c r="H35" s="154" t="s">
        <v>81</v>
      </c>
      <c r="I35" s="152"/>
      <c r="J35" s="152"/>
      <c r="K35" s="158"/>
      <c r="L35" s="543" t="s">
        <v>96</v>
      </c>
      <c r="M35" s="157" t="s">
        <v>97</v>
      </c>
    </row>
    <row r="36" spans="1:26">
      <c r="A36" s="45"/>
      <c r="B36" s="45"/>
      <c r="C36" s="157" t="s">
        <v>56</v>
      </c>
      <c r="D36" s="157" t="s">
        <v>56</v>
      </c>
      <c r="E36" s="98"/>
      <c r="F36" s="98"/>
      <c r="G36" s="551"/>
      <c r="H36" s="270" t="s">
        <v>81</v>
      </c>
      <c r="I36" s="542"/>
      <c r="J36" s="542"/>
      <c r="K36" s="561"/>
      <c r="L36" s="547" t="s">
        <v>96</v>
      </c>
      <c r="M36" s="157" t="s">
        <v>97</v>
      </c>
    </row>
    <row r="37" ht="46" spans="1:26">
      <c r="A37" s="65" t="s">
        <v>52</v>
      </c>
      <c r="B37" s="270" t="s">
        <v>92</v>
      </c>
      <c r="C37" s="137" t="s">
        <v>132</v>
      </c>
      <c r="D37" s="157"/>
      <c r="E37" s="567"/>
      <c r="F37" s="561" t="s">
        <v>83</v>
      </c>
      <c r="G37" s="543"/>
      <c r="H37" s="158" t="s">
        <v>83</v>
      </c>
      <c r="I37" s="157"/>
      <c r="J37" s="157"/>
      <c r="K37" s="270"/>
      <c r="L37" s="543" t="s">
        <v>83</v>
      </c>
      <c r="M37" s="157" t="s">
        <v>85</v>
      </c>
      <c r="N37" s="541"/>
      <c r="O37" s="541"/>
      <c r="P37" s="541"/>
      <c r="Q37" s="541"/>
      <c r="R37" s="541"/>
      <c r="S37" s="541"/>
      <c r="T37" s="541"/>
      <c r="U37" s="541"/>
      <c r="V37" s="541"/>
      <c r="W37" s="541"/>
      <c r="X37" s="541"/>
      <c r="Y37" s="541"/>
      <c r="Z37" s="541"/>
    </row>
    <row r="38" spans="1:26">
      <c r="A38" s="45"/>
      <c r="B38" s="45"/>
      <c r="C38" s="157" t="s">
        <v>133</v>
      </c>
      <c r="D38" s="157"/>
      <c r="E38" s="567"/>
      <c r="F38" s="561" t="s">
        <v>83</v>
      </c>
      <c r="G38" s="543"/>
      <c r="H38" s="158" t="s">
        <v>83</v>
      </c>
      <c r="I38" s="157"/>
      <c r="J38" s="157"/>
      <c r="K38" s="158"/>
      <c r="L38" s="543" t="s">
        <v>83</v>
      </c>
      <c r="M38" s="157" t="s">
        <v>97</v>
      </c>
      <c r="N38" s="541"/>
      <c r="O38" s="541"/>
      <c r="P38" s="541"/>
      <c r="Q38" s="541"/>
      <c r="R38" s="541"/>
      <c r="S38" s="541"/>
      <c r="T38" s="541"/>
      <c r="U38" s="541"/>
      <c r="V38" s="541"/>
      <c r="W38" s="541"/>
      <c r="X38" s="541"/>
      <c r="Y38" s="541"/>
      <c r="Z38" s="541"/>
    </row>
    <row r="39" ht="46" spans="1:26">
      <c r="A39" s="65" t="s">
        <v>134</v>
      </c>
      <c r="B39" s="270" t="s">
        <v>92</v>
      </c>
      <c r="C39" s="137" t="s">
        <v>135</v>
      </c>
      <c r="D39" s="542" t="s">
        <v>50</v>
      </c>
      <c r="E39" s="568"/>
      <c r="F39" s="158" t="s">
        <v>83</v>
      </c>
      <c r="G39" s="157"/>
      <c r="H39" s="158" t="s">
        <v>83</v>
      </c>
      <c r="I39" s="536"/>
      <c r="J39" s="137"/>
      <c r="K39" s="158"/>
      <c r="L39" s="157" t="s">
        <v>96</v>
      </c>
      <c r="M39" s="157" t="s">
        <v>85</v>
      </c>
      <c r="N39" s="541"/>
      <c r="O39" s="541"/>
      <c r="P39" s="541"/>
      <c r="Q39" s="541"/>
      <c r="R39" s="541"/>
      <c r="S39" s="541"/>
      <c r="T39" s="541"/>
      <c r="U39" s="541"/>
      <c r="V39" s="541"/>
      <c r="W39" s="541"/>
      <c r="X39" s="541"/>
      <c r="Y39" s="541"/>
      <c r="Z39" s="541"/>
    </row>
    <row r="40" ht="46" spans="1:26">
      <c r="A40" s="49"/>
      <c r="B40" s="49"/>
      <c r="C40" s="569" t="s">
        <v>136</v>
      </c>
      <c r="D40" s="157" t="s">
        <v>89</v>
      </c>
      <c r="E40" s="276"/>
      <c r="F40" s="112" t="s">
        <v>83</v>
      </c>
      <c r="G40" s="558"/>
      <c r="H40" s="158" t="s">
        <v>83</v>
      </c>
      <c r="I40" s="539"/>
      <c r="J40" s="152"/>
      <c r="K40" s="158"/>
      <c r="L40" s="157" t="s">
        <v>96</v>
      </c>
      <c r="M40" s="157" t="s">
        <v>85</v>
      </c>
      <c r="N40" s="541"/>
      <c r="O40" s="541"/>
      <c r="P40" s="541"/>
      <c r="Q40" s="541"/>
      <c r="R40" s="541"/>
      <c r="S40" s="541"/>
      <c r="T40" s="541"/>
      <c r="U40" s="541"/>
      <c r="V40" s="541"/>
      <c r="W40" s="541"/>
      <c r="X40" s="541"/>
      <c r="Y40" s="541"/>
      <c r="Z40" s="541"/>
    </row>
    <row r="41" spans="1:26">
      <c r="A41" s="45"/>
      <c r="B41" s="45"/>
      <c r="C41" s="570"/>
      <c r="D41" s="157" t="s">
        <v>90</v>
      </c>
      <c r="E41" s="276"/>
      <c r="F41" s="112" t="s">
        <v>83</v>
      </c>
      <c r="G41" s="558"/>
      <c r="H41" s="158" t="s">
        <v>83</v>
      </c>
      <c r="I41" s="539"/>
      <c r="J41" s="152"/>
      <c r="K41" s="158"/>
      <c r="L41" s="157" t="s">
        <v>96</v>
      </c>
      <c r="M41" s="157" t="s">
        <v>85</v>
      </c>
      <c r="N41" s="541"/>
      <c r="O41" s="541"/>
      <c r="P41" s="541"/>
      <c r="Q41" s="541"/>
      <c r="R41" s="541"/>
      <c r="S41" s="541"/>
      <c r="T41" s="541"/>
      <c r="U41" s="541"/>
      <c r="V41" s="541"/>
      <c r="W41" s="541"/>
      <c r="X41" s="541"/>
      <c r="Y41" s="541"/>
      <c r="Z41" s="541"/>
    </row>
    <row r="42" spans="1:26">
      <c r="A42" s="145" t="s">
        <v>137</v>
      </c>
      <c r="B42" s="154"/>
      <c r="C42" s="152" t="s">
        <v>138</v>
      </c>
      <c r="D42" s="152" t="s">
        <v>138</v>
      </c>
      <c r="E42" s="571"/>
      <c r="F42" s="558" t="s">
        <v>81</v>
      </c>
      <c r="G42" s="558"/>
      <c r="H42" s="154"/>
      <c r="I42" s="152" t="s">
        <v>139</v>
      </c>
      <c r="J42" s="152"/>
      <c r="K42" s="326"/>
      <c r="L42" s="539" t="s">
        <v>96</v>
      </c>
      <c r="M42" s="152" t="s">
        <v>97</v>
      </c>
      <c r="N42" s="541"/>
      <c r="O42" s="541"/>
      <c r="P42" s="541"/>
      <c r="Q42" s="541"/>
      <c r="R42" s="541"/>
      <c r="S42" s="541"/>
      <c r="T42" s="541"/>
      <c r="U42" s="541"/>
      <c r="V42" s="541"/>
      <c r="W42" s="541"/>
      <c r="X42" s="541"/>
      <c r="Y42" s="541"/>
      <c r="Z42" s="541"/>
    </row>
    <row r="43" spans="1:26">
      <c r="A43" s="145" t="s">
        <v>140</v>
      </c>
      <c r="B43" s="154"/>
      <c r="C43" s="152" t="s">
        <v>138</v>
      </c>
      <c r="D43" s="152" t="s">
        <v>138</v>
      </c>
      <c r="E43" s="571"/>
      <c r="F43" s="558" t="s">
        <v>81</v>
      </c>
      <c r="G43" s="558"/>
      <c r="H43" s="154"/>
      <c r="I43" s="152" t="s">
        <v>139</v>
      </c>
      <c r="J43" s="152"/>
      <c r="K43" s="326"/>
      <c r="L43" s="539" t="s">
        <v>96</v>
      </c>
      <c r="M43" s="152" t="s">
        <v>97</v>
      </c>
      <c r="N43" s="541"/>
      <c r="O43" s="541"/>
      <c r="P43" s="541"/>
      <c r="Q43" s="541"/>
      <c r="R43" s="541"/>
      <c r="S43" s="541"/>
      <c r="T43" s="541"/>
      <c r="U43" s="541"/>
      <c r="V43" s="541"/>
      <c r="W43" s="541"/>
      <c r="X43" s="541"/>
      <c r="Y43" s="541"/>
      <c r="Z43" s="541"/>
    </row>
    <row r="44" spans="1:26">
      <c r="A44" s="65" t="s">
        <v>27</v>
      </c>
      <c r="B44" s="270" t="s">
        <v>92</v>
      </c>
      <c r="C44" s="157" t="s">
        <v>141</v>
      </c>
      <c r="D44" s="157" t="s">
        <v>142</v>
      </c>
      <c r="E44" s="572"/>
      <c r="F44" s="551" t="s">
        <v>81</v>
      </c>
      <c r="G44" s="157"/>
      <c r="H44" s="561" t="s">
        <v>81</v>
      </c>
      <c r="I44" s="543"/>
      <c r="J44" s="543"/>
      <c r="K44" s="561"/>
      <c r="L44" s="543" t="s">
        <v>96</v>
      </c>
      <c r="M44" s="157" t="s">
        <v>97</v>
      </c>
      <c r="N44" s="541"/>
      <c r="O44" s="541"/>
      <c r="P44" s="541"/>
      <c r="Q44" s="541"/>
      <c r="R44" s="541"/>
      <c r="S44" s="541"/>
      <c r="T44" s="541"/>
      <c r="U44" s="541"/>
      <c r="V44" s="541"/>
      <c r="W44" s="541"/>
      <c r="X44" s="541"/>
      <c r="Y44" s="541"/>
      <c r="Z44" s="541"/>
    </row>
    <row r="45" spans="1:26">
      <c r="A45" s="564"/>
      <c r="B45" s="49"/>
      <c r="C45" s="157" t="s">
        <v>143</v>
      </c>
      <c r="D45" s="157" t="s">
        <v>144</v>
      </c>
      <c r="E45" s="572"/>
      <c r="F45" s="551" t="s">
        <v>81</v>
      </c>
      <c r="G45" s="546"/>
      <c r="H45" s="561" t="s">
        <v>81</v>
      </c>
      <c r="I45" s="543"/>
      <c r="J45" s="543"/>
      <c r="K45" s="561"/>
      <c r="L45" s="543" t="s">
        <v>96</v>
      </c>
      <c r="M45" s="157" t="s">
        <v>97</v>
      </c>
      <c r="N45" s="541"/>
      <c r="O45" s="541"/>
      <c r="P45" s="541"/>
      <c r="Q45" s="541"/>
      <c r="R45" s="541"/>
      <c r="S45" s="541"/>
      <c r="T45" s="541"/>
      <c r="U45" s="541"/>
      <c r="V45" s="541"/>
      <c r="W45" s="541"/>
      <c r="X45" s="541"/>
      <c r="Y45" s="541"/>
      <c r="Z45" s="541"/>
    </row>
    <row r="46" spans="1:26">
      <c r="A46" s="564"/>
      <c r="B46" s="49"/>
      <c r="C46" s="157" t="s">
        <v>44</v>
      </c>
      <c r="D46" s="52" t="s">
        <v>145</v>
      </c>
      <c r="E46" s="572"/>
      <c r="F46" s="551" t="s">
        <v>81</v>
      </c>
      <c r="G46" s="546"/>
      <c r="H46" s="561" t="s">
        <v>81</v>
      </c>
      <c r="I46" s="543"/>
      <c r="J46" s="543"/>
      <c r="K46" s="561"/>
      <c r="L46" s="543" t="s">
        <v>96</v>
      </c>
      <c r="M46" s="157" t="s">
        <v>97</v>
      </c>
      <c r="N46" s="541"/>
      <c r="O46" s="541"/>
      <c r="P46" s="541"/>
      <c r="Q46" s="541"/>
      <c r="R46" s="541"/>
      <c r="S46" s="541"/>
      <c r="T46" s="541"/>
      <c r="U46" s="541"/>
      <c r="V46" s="541"/>
      <c r="W46" s="541"/>
      <c r="X46" s="541"/>
      <c r="Y46" s="541"/>
      <c r="Z46" s="541"/>
    </row>
    <row r="47" ht="46" spans="1:26">
      <c r="A47" s="564"/>
      <c r="B47" s="49"/>
      <c r="C47" s="137" t="s">
        <v>146</v>
      </c>
      <c r="D47" s="157" t="s">
        <v>147</v>
      </c>
      <c r="E47" s="572"/>
      <c r="F47" s="551" t="s">
        <v>81</v>
      </c>
      <c r="G47" s="546"/>
      <c r="H47" s="561" t="s">
        <v>81</v>
      </c>
      <c r="I47" s="543"/>
      <c r="J47" s="543"/>
      <c r="K47" s="538"/>
      <c r="L47" s="543" t="s">
        <v>83</v>
      </c>
      <c r="M47" s="157" t="s">
        <v>97</v>
      </c>
      <c r="N47" s="541"/>
      <c r="O47" s="541"/>
      <c r="P47" s="541"/>
      <c r="Q47" s="541"/>
      <c r="R47" s="541"/>
      <c r="S47" s="541"/>
      <c r="T47" s="541"/>
      <c r="U47" s="541"/>
      <c r="V47" s="541"/>
      <c r="W47" s="541"/>
      <c r="X47" s="541"/>
      <c r="Y47" s="541"/>
      <c r="Z47" s="541"/>
    </row>
    <row r="48" spans="1:26">
      <c r="A48" s="45"/>
      <c r="B48" s="45"/>
      <c r="C48" s="157" t="s">
        <v>28</v>
      </c>
      <c r="D48" s="157" t="s">
        <v>148</v>
      </c>
      <c r="E48" s="572"/>
      <c r="F48" s="551" t="s">
        <v>81</v>
      </c>
      <c r="G48" s="548"/>
      <c r="H48" s="538" t="s">
        <v>81</v>
      </c>
      <c r="I48" s="547"/>
      <c r="J48" s="547"/>
      <c r="K48" s="158"/>
      <c r="L48" s="543" t="s">
        <v>96</v>
      </c>
      <c r="M48" s="157" t="s">
        <v>97</v>
      </c>
      <c r="N48" s="541"/>
      <c r="O48" s="541"/>
      <c r="P48" s="541"/>
      <c r="Q48" s="541"/>
      <c r="R48" s="541"/>
      <c r="S48" s="541"/>
      <c r="T48" s="541"/>
      <c r="U48" s="541"/>
      <c r="V48" s="541"/>
      <c r="W48" s="541"/>
      <c r="X48" s="541"/>
      <c r="Y48" s="541"/>
      <c r="Z48" s="541"/>
    </row>
    <row r="49" ht="409.5" spans="1:26">
      <c r="A49" s="65" t="s">
        <v>149</v>
      </c>
      <c r="B49" s="270" t="s">
        <v>92</v>
      </c>
      <c r="C49" s="137" t="s">
        <v>22</v>
      </c>
      <c r="D49" s="536" t="s">
        <v>150</v>
      </c>
      <c r="E49" s="322" t="s">
        <v>151</v>
      </c>
      <c r="F49" s="548" t="s">
        <v>81</v>
      </c>
      <c r="G49" s="542"/>
      <c r="H49" s="270" t="s">
        <v>83</v>
      </c>
      <c r="I49" s="542"/>
      <c r="J49" s="542"/>
      <c r="K49" s="158"/>
      <c r="L49" s="543" t="s">
        <v>96</v>
      </c>
      <c r="M49" s="157" t="s">
        <v>85</v>
      </c>
      <c r="N49" s="541"/>
      <c r="O49" s="541"/>
      <c r="P49" s="541"/>
      <c r="Q49" s="541"/>
      <c r="R49" s="541"/>
      <c r="S49" s="541"/>
      <c r="T49" s="541"/>
      <c r="U49" s="541"/>
      <c r="V49" s="541"/>
      <c r="W49" s="541"/>
      <c r="X49" s="541"/>
      <c r="Y49" s="541"/>
      <c r="Z49" s="541"/>
    </row>
    <row r="50" spans="1:26">
      <c r="A50" s="49"/>
      <c r="B50" s="49"/>
      <c r="C50" s="157" t="s">
        <v>141</v>
      </c>
      <c r="D50" s="543" t="s">
        <v>152</v>
      </c>
      <c r="E50" s="45"/>
      <c r="F50" s="44"/>
      <c r="G50" s="49"/>
      <c r="H50" s="49"/>
      <c r="I50" s="49"/>
      <c r="J50" s="49"/>
      <c r="K50" s="158"/>
      <c r="L50" s="543"/>
      <c r="M50" s="157"/>
      <c r="N50" s="541"/>
      <c r="O50" s="541"/>
      <c r="P50" s="541"/>
      <c r="Q50" s="541"/>
      <c r="R50" s="541"/>
      <c r="S50" s="541"/>
      <c r="T50" s="541"/>
      <c r="U50" s="541"/>
      <c r="V50" s="541"/>
      <c r="W50" s="541"/>
      <c r="X50" s="541"/>
      <c r="Y50" s="541"/>
      <c r="Z50" s="541"/>
    </row>
    <row r="51" ht="61" spans="1:26">
      <c r="A51" s="45"/>
      <c r="B51" s="45"/>
      <c r="C51" s="157" t="s">
        <v>153</v>
      </c>
      <c r="D51" s="536" t="s">
        <v>154</v>
      </c>
      <c r="E51" s="276"/>
      <c r="F51" s="573"/>
      <c r="G51" s="45"/>
      <c r="H51" s="45"/>
      <c r="I51" s="45"/>
      <c r="J51" s="45"/>
      <c r="K51" s="158"/>
      <c r="L51" s="543"/>
      <c r="M51" s="157"/>
      <c r="N51" s="541"/>
      <c r="O51" s="541"/>
      <c r="P51" s="541"/>
      <c r="Q51" s="541"/>
      <c r="R51" s="541"/>
      <c r="S51" s="541"/>
      <c r="T51" s="541"/>
      <c r="U51" s="541"/>
      <c r="V51" s="541"/>
      <c r="W51" s="541"/>
      <c r="X51" s="541"/>
      <c r="Y51" s="541"/>
      <c r="Z51" s="541"/>
    </row>
    <row r="52" spans="1:26">
      <c r="A52" s="51" t="s">
        <v>155</v>
      </c>
      <c r="B52" s="158" t="s">
        <v>92</v>
      </c>
      <c r="C52" s="157" t="s">
        <v>141</v>
      </c>
      <c r="D52" s="157" t="s">
        <v>141</v>
      </c>
      <c r="E52" s="574"/>
      <c r="F52" s="546" t="s">
        <v>81</v>
      </c>
      <c r="G52" s="539"/>
      <c r="H52" s="154" t="s">
        <v>81</v>
      </c>
      <c r="I52" s="562"/>
      <c r="J52" s="539"/>
      <c r="K52" s="158"/>
      <c r="L52" s="543" t="s">
        <v>96</v>
      </c>
      <c r="M52" s="157" t="s">
        <v>97</v>
      </c>
      <c r="N52" s="541"/>
      <c r="O52" s="541"/>
      <c r="P52" s="541"/>
      <c r="Q52" s="541"/>
      <c r="R52" s="541"/>
      <c r="S52" s="541"/>
      <c r="T52" s="541"/>
      <c r="U52" s="541"/>
      <c r="V52" s="541"/>
      <c r="W52" s="541"/>
      <c r="X52" s="541"/>
      <c r="Y52" s="541"/>
      <c r="Z52" s="541"/>
    </row>
    <row r="53" ht="409.5" spans="1:26">
      <c r="A53" s="51" t="s">
        <v>156</v>
      </c>
      <c r="B53" s="158" t="s">
        <v>92</v>
      </c>
      <c r="C53" s="157" t="s">
        <v>56</v>
      </c>
      <c r="D53" s="157"/>
      <c r="E53" s="575" t="s">
        <v>157</v>
      </c>
      <c r="F53" s="546" t="s">
        <v>81</v>
      </c>
      <c r="G53" s="543"/>
      <c r="H53" s="158" t="s">
        <v>158</v>
      </c>
      <c r="I53" s="576" t="s">
        <v>159</v>
      </c>
      <c r="J53" s="547"/>
      <c r="K53" s="577" t="s">
        <v>160</v>
      </c>
      <c r="L53" s="543" t="s">
        <v>96</v>
      </c>
      <c r="M53" s="157" t="s">
        <v>97</v>
      </c>
      <c r="N53" s="541"/>
      <c r="O53" s="541"/>
      <c r="P53" s="541"/>
      <c r="Q53" s="541"/>
      <c r="R53" s="541"/>
      <c r="S53" s="541"/>
      <c r="T53" s="541"/>
      <c r="U53" s="541"/>
      <c r="V53" s="541"/>
      <c r="W53" s="541"/>
      <c r="X53" s="541"/>
      <c r="Y53" s="541"/>
      <c r="Z53" s="541"/>
    </row>
    <row r="54" spans="1:26">
      <c r="A54" s="51" t="s">
        <v>161</v>
      </c>
      <c r="B54" s="158" t="s">
        <v>92</v>
      </c>
      <c r="C54" s="157" t="s">
        <v>162</v>
      </c>
      <c r="D54" s="157" t="s">
        <v>162</v>
      </c>
      <c r="E54" s="574"/>
      <c r="F54" s="546" t="s">
        <v>81</v>
      </c>
      <c r="G54" s="543"/>
      <c r="H54" s="158" t="s">
        <v>81</v>
      </c>
      <c r="I54" s="548"/>
      <c r="J54" s="547"/>
      <c r="K54" s="158"/>
      <c r="L54" s="543" t="s">
        <v>96</v>
      </c>
      <c r="M54" s="157" t="s">
        <v>97</v>
      </c>
      <c r="N54" s="541"/>
      <c r="O54" s="541"/>
      <c r="P54" s="541"/>
      <c r="Q54" s="541"/>
      <c r="R54" s="541"/>
      <c r="S54" s="541"/>
      <c r="T54" s="541"/>
      <c r="U54" s="541"/>
      <c r="V54" s="541"/>
      <c r="W54" s="541"/>
      <c r="X54" s="541"/>
      <c r="Y54" s="541"/>
      <c r="Z54" s="541"/>
    </row>
    <row r="55" spans="1:26">
      <c r="A55" s="65" t="s">
        <v>163</v>
      </c>
      <c r="B55" s="270" t="s">
        <v>92</v>
      </c>
      <c r="C55" s="542" t="s">
        <v>28</v>
      </c>
      <c r="D55" s="157" t="s">
        <v>164</v>
      </c>
      <c r="E55" s="572"/>
      <c r="F55" s="551" t="s">
        <v>81</v>
      </c>
      <c r="G55" s="546"/>
      <c r="H55" s="561" t="s">
        <v>81</v>
      </c>
      <c r="I55" s="543"/>
      <c r="J55" s="543"/>
      <c r="K55" s="158"/>
      <c r="L55" s="543" t="s">
        <v>165</v>
      </c>
      <c r="M55" s="157" t="s">
        <v>97</v>
      </c>
    </row>
    <row r="56" spans="1:26">
      <c r="A56" s="49"/>
      <c r="B56" s="49"/>
      <c r="C56" s="49"/>
      <c r="D56" s="157" t="s">
        <v>166</v>
      </c>
      <c r="F56" s="551" t="s">
        <v>81</v>
      </c>
      <c r="G56" s="546"/>
      <c r="H56" s="561" t="s">
        <v>81</v>
      </c>
      <c r="I56" s="543"/>
      <c r="J56" s="543"/>
      <c r="K56" s="326"/>
      <c r="L56" s="543" t="s">
        <v>165</v>
      </c>
      <c r="M56" s="157" t="s">
        <v>97</v>
      </c>
    </row>
    <row r="57" spans="1:26">
      <c r="A57" s="45"/>
      <c r="B57" s="45"/>
      <c r="C57" s="45"/>
      <c r="D57" s="157" t="s">
        <v>167</v>
      </c>
      <c r="E57" s="572"/>
      <c r="F57" s="551" t="s">
        <v>81</v>
      </c>
      <c r="G57" s="546"/>
      <c r="H57" s="561" t="s">
        <v>81</v>
      </c>
      <c r="I57" s="543"/>
      <c r="J57" s="543"/>
      <c r="K57" s="561"/>
      <c r="L57" s="543" t="s">
        <v>165</v>
      </c>
      <c r="M57" s="157" t="s">
        <v>97</v>
      </c>
    </row>
    <row r="58" spans="1:26">
      <c r="A58" s="65" t="s">
        <v>168</v>
      </c>
      <c r="B58" s="270" t="s">
        <v>92</v>
      </c>
      <c r="C58" s="157" t="s">
        <v>38</v>
      </c>
      <c r="D58" s="52" t="s">
        <v>169</v>
      </c>
      <c r="E58" s="572"/>
      <c r="F58" s="551" t="s">
        <v>81</v>
      </c>
      <c r="G58" s="546"/>
      <c r="H58" s="561" t="s">
        <v>81</v>
      </c>
      <c r="I58" s="543"/>
      <c r="J58" s="543"/>
      <c r="K58" s="561"/>
      <c r="L58" s="543"/>
      <c r="M58" s="157"/>
    </row>
    <row r="59" spans="1:26">
      <c r="A59" s="49"/>
      <c r="B59" s="49"/>
      <c r="C59" s="157" t="s">
        <v>105</v>
      </c>
      <c r="D59" s="157" t="s">
        <v>170</v>
      </c>
      <c r="E59" s="572"/>
      <c r="F59" s="551" t="s">
        <v>81</v>
      </c>
      <c r="G59" s="546"/>
      <c r="H59" s="561" t="s">
        <v>81</v>
      </c>
      <c r="I59" s="543"/>
      <c r="J59" s="543"/>
      <c r="K59" s="561"/>
      <c r="L59" s="543"/>
      <c r="M59" s="157"/>
    </row>
    <row r="60" spans="1:26">
      <c r="A60" s="45"/>
      <c r="B60" s="45"/>
      <c r="C60" s="157" t="s">
        <v>28</v>
      </c>
      <c r="D60" s="157" t="s">
        <v>171</v>
      </c>
      <c r="E60" s="572"/>
      <c r="F60" s="551" t="s">
        <v>81</v>
      </c>
      <c r="G60" s="546"/>
      <c r="H60" s="561" t="s">
        <v>81</v>
      </c>
      <c r="I60" s="543"/>
      <c r="J60" s="543"/>
      <c r="K60" s="538"/>
      <c r="L60" s="543" t="s">
        <v>96</v>
      </c>
      <c r="M60" s="157" t="s">
        <v>97</v>
      </c>
    </row>
    <row r="61" spans="1:26">
      <c r="A61" s="51" t="s">
        <v>172</v>
      </c>
      <c r="B61" s="158" t="s">
        <v>92</v>
      </c>
      <c r="C61" s="79" t="s">
        <v>173</v>
      </c>
      <c r="D61" s="157" t="s">
        <v>174</v>
      </c>
      <c r="E61" s="572"/>
      <c r="F61" s="551" t="s">
        <v>81</v>
      </c>
      <c r="G61" s="546"/>
      <c r="H61" s="561" t="s">
        <v>81</v>
      </c>
      <c r="I61" s="543"/>
      <c r="J61" s="157"/>
      <c r="K61" s="158"/>
      <c r="L61" s="543" t="s">
        <v>96</v>
      </c>
      <c r="M61" s="157" t="s">
        <v>97</v>
      </c>
    </row>
    <row r="62" spans="1:26">
      <c r="A62" s="65" t="s">
        <v>175</v>
      </c>
      <c r="B62" s="270" t="s">
        <v>92</v>
      </c>
      <c r="C62" s="157" t="s">
        <v>105</v>
      </c>
      <c r="D62" s="52" t="s">
        <v>176</v>
      </c>
      <c r="E62" s="572"/>
      <c r="F62" s="551" t="s">
        <v>81</v>
      </c>
      <c r="G62" s="546"/>
      <c r="H62" s="561"/>
      <c r="I62" s="543"/>
      <c r="J62" s="543"/>
      <c r="K62" s="158"/>
      <c r="L62" s="543"/>
      <c r="M62" s="157"/>
    </row>
    <row r="63" spans="1:26">
      <c r="A63" s="45"/>
      <c r="B63" s="45"/>
      <c r="C63" s="157" t="s">
        <v>38</v>
      </c>
      <c r="D63" s="157" t="s">
        <v>177</v>
      </c>
      <c r="E63" s="572"/>
      <c r="F63" s="551" t="s">
        <v>81</v>
      </c>
      <c r="G63" s="546"/>
      <c r="H63" s="561" t="s">
        <v>81</v>
      </c>
      <c r="I63" s="543"/>
      <c r="J63" s="543"/>
      <c r="K63" s="158"/>
      <c r="L63" s="543" t="s">
        <v>96</v>
      </c>
      <c r="M63" s="157" t="s">
        <v>97</v>
      </c>
    </row>
    <row r="64" spans="1:26">
      <c r="A64" s="65" t="s">
        <v>178</v>
      </c>
      <c r="B64" s="270" t="s">
        <v>92</v>
      </c>
      <c r="C64" s="157" t="s">
        <v>153</v>
      </c>
      <c r="D64" s="157" t="s">
        <v>179</v>
      </c>
      <c r="E64" s="572"/>
      <c r="F64" s="551" t="s">
        <v>81</v>
      </c>
      <c r="G64" s="546"/>
      <c r="H64" s="561" t="s">
        <v>81</v>
      </c>
      <c r="I64" s="543"/>
      <c r="J64" s="543"/>
      <c r="K64" s="154"/>
      <c r="L64" s="543"/>
      <c r="M64" s="157"/>
    </row>
    <row r="65" spans="1:26">
      <c r="A65" s="49"/>
      <c r="B65" s="49"/>
      <c r="C65" s="157" t="s">
        <v>105</v>
      </c>
      <c r="D65" s="157" t="s">
        <v>180</v>
      </c>
      <c r="E65" s="572"/>
      <c r="F65" s="551" t="s">
        <v>81</v>
      </c>
      <c r="G65" s="157"/>
      <c r="H65" s="561" t="s">
        <v>81</v>
      </c>
      <c r="I65" s="543"/>
      <c r="J65" s="157"/>
      <c r="K65" s="158"/>
      <c r="L65" s="543" t="s">
        <v>96</v>
      </c>
      <c r="M65" s="157" t="s">
        <v>97</v>
      </c>
    </row>
    <row r="66" spans="1:26">
      <c r="A66" s="45"/>
      <c r="B66" s="45"/>
      <c r="C66" s="52" t="s">
        <v>8</v>
      </c>
      <c r="D66" s="157" t="s">
        <v>181</v>
      </c>
      <c r="E66" s="572"/>
      <c r="F66" s="551" t="s">
        <v>81</v>
      </c>
      <c r="G66" s="157"/>
      <c r="H66" s="561" t="s">
        <v>81</v>
      </c>
      <c r="I66" s="543"/>
      <c r="J66" s="157"/>
      <c r="K66" s="158"/>
      <c r="L66" s="543" t="s">
        <v>96</v>
      </c>
      <c r="M66" s="157" t="s">
        <v>97</v>
      </c>
    </row>
    <row r="67" spans="1:26">
      <c r="A67" s="65" t="s">
        <v>182</v>
      </c>
      <c r="B67" s="158" t="s">
        <v>92</v>
      </c>
      <c r="C67" s="542" t="s">
        <v>105</v>
      </c>
      <c r="D67" s="157" t="s">
        <v>105</v>
      </c>
      <c r="E67" s="572"/>
      <c r="F67" s="551" t="s">
        <v>81</v>
      </c>
      <c r="G67" s="546"/>
      <c r="H67" s="561" t="s">
        <v>81</v>
      </c>
      <c r="I67" s="543"/>
      <c r="J67" s="543"/>
      <c r="K67" s="561"/>
      <c r="L67" s="543" t="s">
        <v>96</v>
      </c>
      <c r="M67" s="157" t="s">
        <v>97</v>
      </c>
    </row>
    <row r="68" spans="1:26">
      <c r="A68" s="51" t="s">
        <v>183</v>
      </c>
      <c r="B68" s="158" t="s">
        <v>92</v>
      </c>
      <c r="C68" s="157" t="s">
        <v>173</v>
      </c>
      <c r="D68" s="157" t="s">
        <v>184</v>
      </c>
      <c r="E68" s="578"/>
      <c r="F68" s="543" t="s">
        <v>81</v>
      </c>
      <c r="G68" s="543"/>
      <c r="H68" s="158" t="s">
        <v>83</v>
      </c>
      <c r="I68" s="157"/>
      <c r="J68" s="551"/>
      <c r="K68" s="561"/>
      <c r="L68" s="543" t="s">
        <v>96</v>
      </c>
      <c r="M68" s="157" t="s">
        <v>97</v>
      </c>
    </row>
    <row r="69" spans="1:26">
      <c r="A69" s="51" t="s">
        <v>185</v>
      </c>
      <c r="B69" s="158" t="s">
        <v>92</v>
      </c>
      <c r="C69" s="157" t="s">
        <v>186</v>
      </c>
      <c r="D69" s="157" t="s">
        <v>187</v>
      </c>
      <c r="E69" s="578"/>
      <c r="F69" s="543" t="s">
        <v>81</v>
      </c>
      <c r="G69" s="543"/>
      <c r="H69" s="158" t="s">
        <v>81</v>
      </c>
      <c r="I69" s="157"/>
      <c r="J69" s="551"/>
      <c r="K69" s="561"/>
      <c r="L69" s="543" t="s">
        <v>96</v>
      </c>
      <c r="M69" s="157" t="s">
        <v>97</v>
      </c>
    </row>
    <row r="70" spans="1:26">
      <c r="A70" s="51" t="s">
        <v>188</v>
      </c>
      <c r="B70" s="158" t="s">
        <v>92</v>
      </c>
      <c r="C70" s="157" t="s">
        <v>38</v>
      </c>
      <c r="D70" s="157" t="s">
        <v>189</v>
      </c>
      <c r="E70" s="578"/>
      <c r="F70" s="543" t="s">
        <v>81</v>
      </c>
      <c r="G70" s="543"/>
      <c r="H70" s="158" t="s">
        <v>81</v>
      </c>
      <c r="I70" s="157"/>
      <c r="J70" s="551"/>
      <c r="K70" s="561"/>
      <c r="L70" s="543" t="s">
        <v>96</v>
      </c>
      <c r="M70" s="157" t="s">
        <v>97</v>
      </c>
    </row>
    <row r="71" spans="1:26">
      <c r="A71" s="65" t="s">
        <v>190</v>
      </c>
      <c r="B71" s="270" t="s">
        <v>92</v>
      </c>
      <c r="C71" s="157" t="s">
        <v>56</v>
      </c>
      <c r="D71" s="157" t="s">
        <v>191</v>
      </c>
      <c r="E71" s="578"/>
      <c r="F71" s="543" t="s">
        <v>81</v>
      </c>
      <c r="G71" s="543"/>
      <c r="H71" s="158" t="s">
        <v>81</v>
      </c>
      <c r="I71" s="157"/>
      <c r="J71" s="551"/>
      <c r="K71" s="561"/>
      <c r="L71" s="543" t="s">
        <v>96</v>
      </c>
      <c r="M71" s="157" t="s">
        <v>97</v>
      </c>
    </row>
    <row r="72" spans="1:26">
      <c r="A72" s="49"/>
      <c r="B72" s="49"/>
      <c r="C72" s="157" t="s">
        <v>192</v>
      </c>
      <c r="D72" s="157" t="s">
        <v>193</v>
      </c>
      <c r="E72" s="578"/>
      <c r="F72" s="543" t="s">
        <v>81</v>
      </c>
      <c r="G72" s="543"/>
      <c r="H72" s="158" t="s">
        <v>81</v>
      </c>
      <c r="I72" s="157"/>
      <c r="J72" s="551"/>
      <c r="K72" s="561"/>
      <c r="L72" s="543" t="s">
        <v>96</v>
      </c>
      <c r="M72" s="157" t="s">
        <v>97</v>
      </c>
    </row>
    <row r="73" spans="1:26">
      <c r="A73" s="45"/>
      <c r="B73" s="45"/>
      <c r="C73" s="157" t="s">
        <v>194</v>
      </c>
      <c r="D73" s="157" t="s">
        <v>195</v>
      </c>
      <c r="E73" s="578"/>
      <c r="F73" s="543" t="s">
        <v>81</v>
      </c>
      <c r="G73" s="543"/>
      <c r="H73" s="154" t="s">
        <v>196</v>
      </c>
      <c r="I73" s="152"/>
      <c r="J73" s="551"/>
      <c r="K73" s="561"/>
      <c r="L73" s="543" t="s">
        <v>96</v>
      </c>
      <c r="M73" s="157" t="s">
        <v>97</v>
      </c>
    </row>
    <row r="74" spans="1:26">
      <c r="A74" s="65" t="s">
        <v>197</v>
      </c>
      <c r="B74" s="270" t="s">
        <v>92</v>
      </c>
      <c r="C74" s="542" t="s">
        <v>126</v>
      </c>
      <c r="D74" s="542" t="s">
        <v>198</v>
      </c>
      <c r="E74" s="324"/>
      <c r="F74" s="542" t="s">
        <v>81</v>
      </c>
      <c r="G74" s="542"/>
      <c r="H74" s="301" t="s">
        <v>81</v>
      </c>
      <c r="I74" s="557"/>
      <c r="J74" s="542"/>
      <c r="K74" s="270"/>
      <c r="L74" s="542" t="s">
        <v>96</v>
      </c>
      <c r="M74" s="542" t="s">
        <v>97</v>
      </c>
    </row>
    <row r="75" ht="109" spans="1:26">
      <c r="A75" s="51" t="s">
        <v>199</v>
      </c>
      <c r="B75" s="158" t="s">
        <v>92</v>
      </c>
      <c r="C75" s="157" t="s">
        <v>105</v>
      </c>
      <c r="D75" s="157" t="s">
        <v>200</v>
      </c>
      <c r="E75" s="578"/>
      <c r="F75" s="543" t="s">
        <v>81</v>
      </c>
      <c r="G75" s="543"/>
      <c r="H75" s="158" t="s">
        <v>81</v>
      </c>
      <c r="I75" s="157"/>
      <c r="J75" s="551"/>
      <c r="K75" s="579" t="s">
        <v>201</v>
      </c>
      <c r="L75" s="543" t="s">
        <v>96</v>
      </c>
      <c r="M75" s="157" t="s">
        <v>97</v>
      </c>
      <c r="N75" s="580"/>
      <c r="O75" s="580"/>
      <c r="P75" s="580"/>
      <c r="Q75" s="580"/>
      <c r="R75" s="580"/>
      <c r="S75" s="580"/>
      <c r="T75" s="580"/>
      <c r="U75" s="580"/>
      <c r="V75" s="580"/>
      <c r="W75" s="580"/>
      <c r="X75" s="580"/>
      <c r="Y75" s="580"/>
      <c r="Z75" s="580"/>
    </row>
    <row r="76" ht="68" spans="1:26">
      <c r="A76" s="65" t="s">
        <v>202</v>
      </c>
      <c r="B76" s="270" t="s">
        <v>92</v>
      </c>
      <c r="C76" s="157" t="s">
        <v>143</v>
      </c>
      <c r="D76" s="157"/>
      <c r="E76" s="581"/>
      <c r="F76" s="543" t="s">
        <v>81</v>
      </c>
      <c r="G76" s="543"/>
      <c r="H76" s="158" t="s">
        <v>83</v>
      </c>
      <c r="I76" s="542" t="s">
        <v>203</v>
      </c>
      <c r="J76" s="551"/>
      <c r="K76" s="582" t="s">
        <v>204</v>
      </c>
      <c r="L76" s="543" t="s">
        <v>96</v>
      </c>
      <c r="M76" s="157" t="s">
        <v>97</v>
      </c>
      <c r="N76" s="580"/>
      <c r="O76" s="580"/>
      <c r="P76" s="580"/>
      <c r="Q76" s="580"/>
      <c r="R76" s="580"/>
      <c r="S76" s="580"/>
      <c r="T76" s="580"/>
      <c r="U76" s="580"/>
      <c r="V76" s="580"/>
      <c r="W76" s="580"/>
      <c r="X76" s="580"/>
      <c r="Y76" s="580"/>
      <c r="Z76" s="580"/>
    </row>
    <row r="77" spans="1:26">
      <c r="A77" s="45"/>
      <c r="B77" s="45"/>
      <c r="C77" s="157" t="s">
        <v>56</v>
      </c>
      <c r="D77" s="157"/>
      <c r="E77" s="73"/>
      <c r="F77" s="543" t="s">
        <v>81</v>
      </c>
      <c r="G77" s="543"/>
      <c r="H77" s="158" t="s">
        <v>83</v>
      </c>
      <c r="I77" s="45"/>
      <c r="J77" s="551"/>
      <c r="K77" s="73"/>
      <c r="L77" s="543" t="s">
        <v>96</v>
      </c>
      <c r="M77" s="157" t="s">
        <v>97</v>
      </c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</row>
    <row r="78" ht="61" spans="1:26">
      <c r="A78" s="65" t="s">
        <v>205</v>
      </c>
      <c r="B78" s="270" t="s">
        <v>92</v>
      </c>
      <c r="C78" s="88" t="s">
        <v>206</v>
      </c>
      <c r="D78" s="137" t="s">
        <v>207</v>
      </c>
      <c r="E78" s="578"/>
      <c r="F78" s="547" t="s">
        <v>81</v>
      </c>
      <c r="G78" s="547"/>
      <c r="H78" s="538" t="s">
        <v>83</v>
      </c>
      <c r="I78" s="157"/>
      <c r="J78" s="537"/>
      <c r="K78" s="538"/>
      <c r="L78" s="547" t="s">
        <v>96</v>
      </c>
      <c r="M78" s="542" t="s">
        <v>97</v>
      </c>
      <c r="N78" s="541"/>
      <c r="O78" s="541"/>
      <c r="P78" s="541"/>
      <c r="Q78" s="541"/>
      <c r="R78" s="541"/>
      <c r="S78" s="541"/>
      <c r="T78" s="541"/>
      <c r="U78" s="541"/>
      <c r="V78" s="541"/>
      <c r="W78" s="541"/>
      <c r="X78" s="541"/>
      <c r="Y78" s="541"/>
      <c r="Z78" s="541"/>
    </row>
    <row r="79" ht="61" spans="1:26">
      <c r="A79" s="49"/>
      <c r="B79" s="49"/>
      <c r="C79" s="49"/>
      <c r="D79" s="137" t="s">
        <v>208</v>
      </c>
      <c r="E79" s="578"/>
      <c r="F79" s="583"/>
      <c r="G79" s="583"/>
      <c r="H79" s="535"/>
      <c r="I79" s="40"/>
      <c r="J79" s="98"/>
      <c r="K79" s="101"/>
      <c r="L79" s="101"/>
      <c r="M79" s="49"/>
      <c r="N79" s="541"/>
      <c r="O79" s="541"/>
      <c r="P79" s="541"/>
      <c r="Q79" s="541"/>
      <c r="R79" s="541"/>
      <c r="S79" s="541"/>
      <c r="T79" s="541"/>
      <c r="U79" s="541"/>
      <c r="V79" s="541"/>
      <c r="W79" s="541"/>
      <c r="X79" s="541"/>
      <c r="Y79" s="541"/>
      <c r="Z79" s="541"/>
    </row>
    <row r="80" ht="76" spans="1:26">
      <c r="A80" s="49"/>
      <c r="B80" s="49"/>
      <c r="C80" s="88" t="s">
        <v>209</v>
      </c>
      <c r="D80" s="137" t="s">
        <v>210</v>
      </c>
      <c r="E80" s="578"/>
      <c r="F80" s="101"/>
      <c r="G80" s="101"/>
      <c r="H80" s="101"/>
      <c r="I80" s="40"/>
      <c r="J80" s="537"/>
      <c r="K80" s="101"/>
      <c r="L80" s="101"/>
      <c r="M80" s="49"/>
      <c r="N80" s="541"/>
      <c r="O80" s="541"/>
      <c r="P80" s="541"/>
      <c r="Q80" s="541"/>
      <c r="R80" s="541"/>
      <c r="S80" s="541"/>
      <c r="T80" s="541"/>
      <c r="U80" s="541"/>
      <c r="V80" s="541"/>
      <c r="W80" s="541"/>
      <c r="X80" s="541"/>
      <c r="Y80" s="541"/>
      <c r="Z80" s="541"/>
    </row>
    <row r="81" spans="1:26">
      <c r="A81" s="49"/>
      <c r="B81" s="49"/>
      <c r="C81" s="49"/>
      <c r="D81" s="157" t="s">
        <v>211</v>
      </c>
      <c r="E81" s="578"/>
      <c r="F81" s="583"/>
      <c r="G81" s="583"/>
      <c r="H81" s="535"/>
      <c r="I81" s="40"/>
      <c r="J81" s="98"/>
      <c r="K81" s="101"/>
      <c r="L81" s="101"/>
      <c r="M81" s="49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</row>
    <row r="82" spans="1:26">
      <c r="A82" s="49"/>
      <c r="B82" s="49"/>
      <c r="C82" s="49"/>
      <c r="D82" s="157" t="s">
        <v>212</v>
      </c>
      <c r="E82" s="578"/>
      <c r="F82" s="101"/>
      <c r="G82" s="101"/>
      <c r="H82" s="101"/>
      <c r="I82" s="40"/>
      <c r="J82" s="551"/>
      <c r="K82" s="101"/>
      <c r="L82" s="101"/>
      <c r="M82" s="49"/>
      <c r="N82" s="541"/>
      <c r="O82" s="541"/>
      <c r="P82" s="541"/>
      <c r="Q82" s="541"/>
      <c r="R82" s="541"/>
      <c r="S82" s="541"/>
      <c r="T82" s="541"/>
      <c r="U82" s="541"/>
      <c r="V82" s="541"/>
      <c r="W82" s="541"/>
      <c r="X82" s="541"/>
      <c r="Y82" s="541"/>
      <c r="Z82" s="541"/>
    </row>
    <row r="83" spans="1:26">
      <c r="A83" s="45"/>
      <c r="B83" s="45"/>
      <c r="C83" s="45"/>
      <c r="D83" s="157" t="s">
        <v>213</v>
      </c>
      <c r="F83" s="73"/>
      <c r="G83" s="73"/>
      <c r="H83" s="45"/>
      <c r="I83" s="280"/>
      <c r="J83" s="551"/>
      <c r="K83" s="73"/>
      <c r="L83" s="73"/>
      <c r="M83" s="45"/>
      <c r="N83" s="541"/>
      <c r="O83" s="541"/>
      <c r="P83" s="541"/>
      <c r="Q83" s="541"/>
      <c r="R83" s="541"/>
      <c r="S83" s="541"/>
      <c r="T83" s="541"/>
      <c r="U83" s="541"/>
      <c r="V83" s="541"/>
      <c r="W83" s="541"/>
      <c r="X83" s="541"/>
      <c r="Y83" s="541"/>
      <c r="Z83" s="541"/>
    </row>
    <row r="84" spans="1:26">
      <c r="A84" s="51"/>
      <c r="B84" s="158"/>
      <c r="C84" s="157"/>
      <c r="D84" s="157"/>
      <c r="E84" s="578"/>
      <c r="F84" s="543"/>
      <c r="G84" s="543"/>
      <c r="H84" s="158"/>
      <c r="I84" s="157"/>
      <c r="J84" s="551"/>
      <c r="K84" s="561"/>
      <c r="L84" s="543"/>
      <c r="M84" s="157"/>
      <c r="N84" s="541"/>
      <c r="O84" s="541"/>
      <c r="P84" s="541"/>
      <c r="Q84" s="541"/>
      <c r="R84" s="541"/>
      <c r="S84" s="541"/>
      <c r="T84" s="541"/>
      <c r="U84" s="541"/>
      <c r="V84" s="541"/>
      <c r="W84" s="541"/>
      <c r="X84" s="541"/>
      <c r="Y84" s="541"/>
      <c r="Z84" s="541"/>
    </row>
    <row r="85" spans="1:26">
      <c r="A85" s="51"/>
      <c r="B85" s="158"/>
      <c r="C85" s="157"/>
      <c r="D85" s="157"/>
      <c r="E85" s="578"/>
      <c r="F85" s="543"/>
      <c r="G85" s="543"/>
      <c r="H85" s="158"/>
      <c r="I85" s="157"/>
      <c r="J85" s="551"/>
      <c r="K85" s="561"/>
      <c r="L85" s="543"/>
      <c r="M85" s="157"/>
      <c r="N85" s="541"/>
      <c r="O85" s="541"/>
      <c r="P85" s="541"/>
      <c r="Q85" s="541"/>
      <c r="R85" s="541"/>
      <c r="S85" s="541"/>
      <c r="T85" s="541"/>
      <c r="U85" s="541"/>
      <c r="V85" s="541"/>
      <c r="W85" s="541"/>
      <c r="X85" s="541"/>
      <c r="Y85" s="541"/>
      <c r="Z85" s="541"/>
    </row>
    <row r="86" spans="1:26">
      <c r="A86" s="584"/>
      <c r="B86" s="179"/>
      <c r="C86" s="585"/>
      <c r="D86" s="585"/>
      <c r="E86" s="586"/>
      <c r="F86" s="585"/>
      <c r="G86" s="585"/>
      <c r="H86" s="179"/>
      <c r="I86" s="585"/>
      <c r="J86" s="585"/>
      <c r="K86" s="179"/>
      <c r="L86" s="585"/>
      <c r="M86" s="585"/>
    </row>
    <row r="87" spans="1:26">
      <c r="A87" s="584"/>
      <c r="B87" s="179"/>
      <c r="C87" s="585"/>
      <c r="D87" s="585"/>
      <c r="E87" s="586"/>
      <c r="F87" s="585"/>
      <c r="G87" s="585"/>
      <c r="H87" s="179"/>
      <c r="I87" s="585"/>
      <c r="J87" s="585"/>
      <c r="K87" s="179"/>
      <c r="L87" s="585"/>
      <c r="M87" s="585"/>
    </row>
    <row r="88" spans="1:26">
      <c r="A88" s="584"/>
      <c r="B88" s="179"/>
      <c r="C88" s="585"/>
      <c r="D88" s="585"/>
      <c r="E88" s="586"/>
      <c r="F88" s="585"/>
      <c r="G88" s="585"/>
      <c r="H88" s="179"/>
      <c r="I88" s="585"/>
      <c r="J88" s="585"/>
      <c r="K88" s="179"/>
      <c r="L88" s="585"/>
      <c r="M88" s="585"/>
    </row>
    <row r="89" spans="1:26">
      <c r="A89" s="584"/>
      <c r="B89" s="179"/>
      <c r="C89" s="585"/>
      <c r="D89" s="585"/>
      <c r="E89" s="586"/>
      <c r="F89" s="585"/>
      <c r="G89" s="585"/>
      <c r="H89" s="179"/>
      <c r="I89" s="585"/>
      <c r="J89" s="585"/>
      <c r="K89" s="179"/>
      <c r="L89" s="585"/>
      <c r="M89" s="585"/>
    </row>
    <row r="90" spans="1:26">
      <c r="A90" s="584"/>
      <c r="B90" s="179"/>
      <c r="C90" s="585"/>
      <c r="D90" s="585"/>
      <c r="E90" s="586"/>
      <c r="F90" s="585"/>
      <c r="G90" s="585"/>
      <c r="H90" s="179"/>
      <c r="I90" s="585"/>
      <c r="J90" s="585"/>
      <c r="K90" s="179"/>
      <c r="L90" s="585"/>
      <c r="M90" s="585"/>
    </row>
    <row r="91" spans="1:26">
      <c r="A91" s="584"/>
      <c r="B91" s="179"/>
      <c r="C91" s="585"/>
      <c r="D91" s="585"/>
      <c r="E91" s="586"/>
      <c r="F91" s="585"/>
      <c r="G91" s="585"/>
      <c r="H91" s="179"/>
      <c r="I91" s="585"/>
      <c r="J91" s="585"/>
      <c r="K91" s="179"/>
      <c r="L91" s="585"/>
      <c r="M91" s="585"/>
    </row>
    <row r="92" spans="1:26">
      <c r="A92" s="584"/>
      <c r="B92" s="179"/>
      <c r="C92" s="585"/>
      <c r="D92" s="585"/>
      <c r="E92" s="586"/>
      <c r="F92" s="585"/>
      <c r="G92" s="585"/>
      <c r="H92" s="179"/>
      <c r="I92" s="585"/>
      <c r="J92" s="585"/>
      <c r="K92" s="179"/>
      <c r="L92" s="585"/>
      <c r="M92" s="585"/>
    </row>
    <row r="93" spans="1:26">
      <c r="A93" s="584"/>
      <c r="B93" s="179"/>
      <c r="C93" s="585"/>
      <c r="D93" s="585"/>
      <c r="E93" s="586"/>
      <c r="F93" s="585"/>
      <c r="G93" s="585"/>
      <c r="H93" s="179"/>
      <c r="I93" s="585"/>
      <c r="J93" s="585"/>
      <c r="K93" s="179"/>
      <c r="L93" s="585"/>
      <c r="M93" s="585"/>
    </row>
    <row r="94" spans="1:26">
      <c r="A94" s="584"/>
      <c r="B94" s="179"/>
      <c r="C94" s="585"/>
      <c r="D94" s="585"/>
      <c r="E94" s="586"/>
      <c r="F94" s="585"/>
      <c r="G94" s="585"/>
      <c r="H94" s="179"/>
      <c r="I94" s="585"/>
      <c r="J94" s="585"/>
      <c r="K94" s="179"/>
      <c r="L94" s="587"/>
      <c r="M94" s="587"/>
    </row>
    <row r="95" spans="1:26">
      <c r="A95" s="584"/>
      <c r="B95" s="179"/>
      <c r="C95" s="584"/>
      <c r="D95" s="584"/>
      <c r="E95" s="586"/>
      <c r="F95" s="585"/>
      <c r="G95" s="585"/>
      <c r="H95" s="179"/>
      <c r="I95" s="585"/>
      <c r="J95" s="585"/>
      <c r="K95" s="179"/>
      <c r="L95" s="584"/>
      <c r="M95" s="584"/>
    </row>
    <row r="96" spans="1:26">
      <c r="A96" s="584"/>
      <c r="B96" s="179"/>
      <c r="C96" s="585"/>
      <c r="D96" s="585"/>
      <c r="E96" s="586"/>
      <c r="F96" s="585"/>
      <c r="G96" s="585"/>
      <c r="H96" s="179"/>
      <c r="I96" s="585"/>
      <c r="J96" s="585"/>
      <c r="K96" s="179"/>
      <c r="L96" s="585"/>
      <c r="M96" s="585"/>
    </row>
    <row r="97" spans="1:13">
      <c r="A97" s="584"/>
      <c r="B97" s="179"/>
      <c r="C97" s="585"/>
      <c r="D97" s="585"/>
      <c r="E97" s="586"/>
      <c r="F97" s="585"/>
      <c r="G97" s="585"/>
      <c r="H97" s="179"/>
      <c r="I97" s="585"/>
      <c r="J97" s="585"/>
      <c r="K97" s="179"/>
      <c r="L97" s="585"/>
      <c r="M97" s="585"/>
    </row>
    <row r="98" spans="1:13">
      <c r="A98" s="584"/>
      <c r="B98" s="179"/>
      <c r="C98" s="585"/>
      <c r="D98" s="585"/>
      <c r="E98" s="586"/>
      <c r="F98" s="585"/>
      <c r="G98" s="585"/>
      <c r="H98" s="179"/>
      <c r="I98" s="585"/>
      <c r="J98" s="585"/>
      <c r="K98" s="179"/>
      <c r="L98" s="585"/>
      <c r="M98" s="585"/>
    </row>
    <row r="99" spans="1:13">
      <c r="A99" s="584"/>
      <c r="B99" s="179"/>
      <c r="C99" s="585"/>
      <c r="D99" s="585"/>
      <c r="E99" s="586"/>
      <c r="F99" s="585"/>
      <c r="G99" s="585"/>
      <c r="H99" s="179"/>
      <c r="I99" s="585"/>
      <c r="J99" s="585"/>
      <c r="K99" s="179"/>
      <c r="L99" s="585"/>
      <c r="M99" s="585"/>
    </row>
    <row r="100" spans="1:13">
      <c r="A100" s="584"/>
      <c r="B100" s="179"/>
      <c r="C100" s="585"/>
      <c r="D100" s="585"/>
      <c r="E100" s="586"/>
      <c r="F100" s="585"/>
      <c r="G100" s="585"/>
      <c r="H100" s="179"/>
      <c r="I100" s="585"/>
      <c r="J100" s="585"/>
      <c r="K100" s="179"/>
      <c r="L100" s="585"/>
      <c r="M100" s="585"/>
    </row>
    <row r="101" spans="1:13">
      <c r="A101" s="584"/>
      <c r="B101" s="179"/>
      <c r="C101" s="585"/>
      <c r="D101" s="585"/>
      <c r="E101" s="586"/>
      <c r="F101" s="585"/>
      <c r="G101" s="585"/>
      <c r="H101" s="179"/>
      <c r="I101" s="585"/>
      <c r="J101" s="585"/>
      <c r="K101" s="179"/>
      <c r="L101" s="585"/>
      <c r="M101" s="585"/>
    </row>
    <row r="102" spans="1:13">
      <c r="A102" s="584"/>
      <c r="B102" s="179"/>
      <c r="C102" s="585"/>
      <c r="D102" s="585"/>
      <c r="E102" s="586"/>
      <c r="F102" s="585"/>
      <c r="G102" s="585"/>
      <c r="H102" s="179"/>
      <c r="I102" s="585"/>
      <c r="J102" s="585"/>
      <c r="K102" s="179"/>
      <c r="L102" s="585"/>
      <c r="M102" s="585"/>
    </row>
    <row r="103" spans="1:13">
      <c r="A103" s="584"/>
      <c r="B103" s="179"/>
      <c r="C103" s="585"/>
      <c r="D103" s="585"/>
      <c r="E103" s="586"/>
      <c r="F103" s="585"/>
      <c r="G103" s="585"/>
      <c r="H103" s="179"/>
      <c r="I103" s="585"/>
      <c r="J103" s="585"/>
      <c r="K103" s="179"/>
      <c r="L103" s="585"/>
      <c r="M103" s="585"/>
    </row>
    <row r="104" spans="1:13">
      <c r="A104" s="584"/>
      <c r="B104" s="179"/>
      <c r="C104" s="585"/>
      <c r="D104" s="585"/>
      <c r="E104" s="586"/>
      <c r="F104" s="585"/>
      <c r="G104" s="585"/>
      <c r="H104" s="179"/>
      <c r="I104" s="585"/>
      <c r="J104" s="585"/>
      <c r="K104" s="179"/>
      <c r="L104" s="585"/>
      <c r="M104" s="585"/>
    </row>
    <row r="105" spans="1:13">
      <c r="A105" s="584"/>
      <c r="B105" s="179"/>
      <c r="C105" s="585"/>
      <c r="D105" s="585"/>
      <c r="E105" s="586"/>
      <c r="F105" s="585"/>
      <c r="G105" s="585"/>
      <c r="H105" s="179"/>
      <c r="I105" s="585"/>
      <c r="J105" s="585"/>
      <c r="K105" s="179"/>
      <c r="L105" s="585"/>
      <c r="M105" s="585"/>
    </row>
    <row r="106" spans="1:13">
      <c r="A106" s="584"/>
      <c r="B106" s="179"/>
      <c r="C106" s="585"/>
      <c r="D106" s="585"/>
      <c r="E106" s="586"/>
      <c r="F106" s="585"/>
      <c r="G106" s="585"/>
      <c r="H106" s="179"/>
      <c r="I106" s="585"/>
      <c r="J106" s="585"/>
      <c r="K106" s="179"/>
      <c r="L106" s="585"/>
      <c r="M106" s="585"/>
    </row>
    <row r="107" spans="1:13">
      <c r="A107" s="584"/>
      <c r="B107" s="179"/>
      <c r="C107" s="585"/>
      <c r="D107" s="585"/>
      <c r="E107" s="586"/>
      <c r="F107" s="585"/>
      <c r="G107" s="585"/>
      <c r="H107" s="179"/>
      <c r="I107" s="585"/>
      <c r="J107" s="585"/>
      <c r="K107" s="179"/>
      <c r="L107" s="585"/>
      <c r="M107" s="585"/>
    </row>
    <row r="108" spans="1:13">
      <c r="A108" s="584"/>
      <c r="B108" s="179"/>
      <c r="C108" s="585"/>
      <c r="D108" s="585"/>
      <c r="E108" s="586"/>
      <c r="F108" s="585"/>
      <c r="G108" s="585"/>
      <c r="H108" s="179"/>
      <c r="I108" s="585"/>
      <c r="J108" s="585"/>
      <c r="K108" s="179"/>
      <c r="L108" s="585"/>
      <c r="M108" s="585"/>
    </row>
    <row r="109" spans="1:13">
      <c r="A109" s="584"/>
      <c r="B109" s="179"/>
      <c r="C109" s="585"/>
      <c r="D109" s="585"/>
      <c r="E109" s="586"/>
      <c r="F109" s="585"/>
      <c r="G109" s="585"/>
      <c r="H109" s="179"/>
      <c r="I109" s="585"/>
      <c r="J109" s="585"/>
      <c r="K109" s="179"/>
      <c r="L109" s="585"/>
      <c r="M109" s="585"/>
    </row>
    <row r="110" spans="1:13">
      <c r="A110" s="584"/>
      <c r="B110" s="179"/>
      <c r="C110" s="585"/>
      <c r="D110" s="585"/>
      <c r="E110" s="586"/>
      <c r="F110" s="585"/>
      <c r="G110" s="585"/>
      <c r="H110" s="179"/>
      <c r="I110" s="585"/>
      <c r="J110" s="585"/>
      <c r="K110" s="179"/>
      <c r="L110" s="585"/>
      <c r="M110" s="585"/>
    </row>
    <row r="111" spans="1:13">
      <c r="A111" s="584"/>
      <c r="B111" s="179"/>
      <c r="C111" s="585"/>
      <c r="D111" s="585"/>
      <c r="E111" s="586"/>
      <c r="F111" s="585"/>
      <c r="G111" s="585"/>
      <c r="H111" s="179"/>
      <c r="I111" s="585"/>
      <c r="J111" s="585"/>
      <c r="K111" s="179"/>
      <c r="L111" s="585"/>
      <c r="M111" s="585"/>
    </row>
    <row r="112" spans="1:13">
      <c r="A112" s="584"/>
      <c r="B112" s="179"/>
      <c r="C112" s="585"/>
      <c r="D112" s="585"/>
      <c r="E112" s="586"/>
      <c r="F112" s="585"/>
      <c r="G112" s="585"/>
      <c r="H112" s="179"/>
      <c r="I112" s="585"/>
      <c r="J112" s="585"/>
      <c r="K112" s="179"/>
      <c r="L112" s="585"/>
      <c r="M112" s="585"/>
    </row>
    <row r="113" spans="2:11">
      <c r="B113" s="184"/>
      <c r="E113" s="586"/>
      <c r="F113" s="541"/>
      <c r="G113" s="541"/>
      <c r="H113" s="184"/>
      <c r="I113" s="541"/>
      <c r="J113" s="541"/>
      <c r="K113" s="184"/>
    </row>
    <row r="114" spans="2:11">
      <c r="B114" s="184"/>
      <c r="E114" s="586"/>
      <c r="F114" s="541"/>
      <c r="G114" s="541"/>
      <c r="H114" s="184"/>
      <c r="I114" s="541"/>
      <c r="J114" s="541"/>
      <c r="K114" s="184"/>
    </row>
    <row r="115" spans="2:11">
      <c r="B115" s="184"/>
      <c r="E115" s="586"/>
      <c r="F115" s="541"/>
      <c r="G115" s="541"/>
      <c r="H115" s="184"/>
      <c r="I115" s="541"/>
      <c r="J115" s="541"/>
      <c r="K115" s="184"/>
    </row>
    <row r="116" spans="2:11">
      <c r="B116" s="184"/>
      <c r="E116" s="586"/>
      <c r="F116" s="541"/>
      <c r="G116" s="541"/>
      <c r="H116" s="184"/>
      <c r="I116" s="541"/>
      <c r="J116" s="541"/>
      <c r="K116" s="184"/>
    </row>
    <row r="117" spans="2:11">
      <c r="B117" s="184"/>
      <c r="E117" s="586"/>
      <c r="F117" s="541"/>
      <c r="G117" s="541"/>
      <c r="H117" s="184"/>
      <c r="I117" s="541"/>
      <c r="J117" s="541"/>
      <c r="K117" s="184"/>
    </row>
    <row r="118" spans="2:11">
      <c r="B118" s="184"/>
      <c r="E118" s="586"/>
      <c r="F118" s="541"/>
      <c r="G118" s="541"/>
      <c r="H118" s="184"/>
      <c r="I118" s="541"/>
      <c r="J118" s="541"/>
      <c r="K118" s="184"/>
    </row>
    <row r="119" spans="2:11">
      <c r="B119" s="184"/>
      <c r="E119" s="586"/>
      <c r="F119" s="541"/>
      <c r="G119" s="541"/>
      <c r="H119" s="184"/>
      <c r="I119" s="541"/>
      <c r="J119" s="541"/>
      <c r="K119" s="184"/>
    </row>
    <row r="120" spans="2:11">
      <c r="B120" s="184"/>
      <c r="E120" s="586"/>
      <c r="F120" s="541"/>
      <c r="G120" s="541"/>
      <c r="H120" s="184"/>
      <c r="I120" s="541"/>
      <c r="J120" s="541"/>
      <c r="K120" s="184"/>
    </row>
    <row r="121" spans="2:11">
      <c r="B121" s="184"/>
      <c r="E121" s="586"/>
      <c r="F121" s="541"/>
      <c r="G121" s="541"/>
      <c r="H121" s="184"/>
      <c r="I121" s="541"/>
      <c r="J121" s="541"/>
      <c r="K121" s="184"/>
    </row>
    <row r="122" spans="2:11">
      <c r="B122" s="184"/>
      <c r="E122" s="586"/>
      <c r="F122" s="541"/>
      <c r="G122" s="541"/>
      <c r="H122" s="184"/>
      <c r="I122" s="541"/>
      <c r="J122" s="541"/>
      <c r="K122" s="184"/>
    </row>
    <row r="123" spans="2:11">
      <c r="B123" s="184"/>
      <c r="E123" s="586"/>
      <c r="F123" s="541"/>
      <c r="G123" s="541"/>
      <c r="H123" s="184"/>
      <c r="I123" s="541"/>
      <c r="J123" s="541"/>
      <c r="K123" s="184"/>
    </row>
    <row r="124" spans="2:11">
      <c r="B124" s="184"/>
      <c r="E124" s="586"/>
      <c r="F124" s="541"/>
      <c r="G124" s="541"/>
      <c r="H124" s="184"/>
      <c r="I124" s="541"/>
      <c r="J124" s="541"/>
      <c r="K124" s="184"/>
    </row>
    <row r="125" spans="2:11">
      <c r="B125" s="184"/>
      <c r="E125" s="586"/>
      <c r="F125" s="541"/>
      <c r="G125" s="541"/>
      <c r="H125" s="184"/>
      <c r="I125" s="541"/>
      <c r="J125" s="541"/>
      <c r="K125" s="18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历史订单（系统未关闭）"/>
  <dimension ref="A1:AA18"/>
  <sheetViews>
    <sheetView workbookViewId="0">
      <pane xSplit="9" ySplit="3" topLeftCell="J4" activePane="bottomRight" state="frozen"/>
      <selection/>
      <selection pane="topRight"/>
      <selection pane="bottomLeft"/>
      <selection pane="bottomRight" activeCell="J4" sqref="J4"/>
    </sheetView>
  </sheetViews>
  <sheetFormatPr defaultColWidth="13.7115384615385" defaultRowHeight="18" customHeight="1"/>
  <cols>
    <col min="1" max="1" width="19" style="11" customWidth="1"/>
    <col min="2" max="2" width="10.5673076923077" style="2" customWidth="1" outlineLevel="1"/>
    <col min="3" max="3" width="17" style="1" customWidth="1" outlineLevel="1"/>
    <col min="4" max="4" width="18.5673076923077" style="3" collapsed="1"/>
    <col min="5" max="5" width="18.8557692307692" style="3" hidden="1" outlineLevel="1"/>
    <col min="6" max="6" width="21.1442307692308" style="3" hidden="1" outlineLevel="1"/>
    <col min="7" max="7" width="13.5673076923077" style="2" customWidth="1" outlineLevel="1" collapsed="1"/>
    <col min="8" max="8" width="23.2884615384615" style="11" customWidth="1" collapsed="1"/>
    <col min="9" max="9" width="9.56730769230769" style="1" customWidth="1"/>
    <col min="10" max="10" width="28.8557692307692" style="3" customWidth="1"/>
    <col min="11" max="11" width="23" style="201" customWidth="1"/>
    <col min="12" max="12" width="14.8557692307692" style="4" customWidth="1"/>
    <col min="13" max="13" width="8.85576923076923" style="1" customWidth="1"/>
    <col min="14" max="14" width="8.56730769230769" style="5" customWidth="1"/>
    <col min="15" max="15" width="9.14423076923077" style="6" customWidth="1"/>
    <col min="16" max="16" width="15.8557692307692" style="7" customWidth="1"/>
    <col min="17" max="17" width="15.1442307692308" style="7" hidden="1" customWidth="1"/>
    <col min="18" max="18" width="44.1442307692308" style="9" customWidth="1"/>
    <col min="19" max="19" width="10.2884615384615" style="1" customWidth="1"/>
    <col min="20" max="20" width="11.2884615384615" style="4" customWidth="1"/>
    <col min="21" max="21" width="35.5673076923077" style="9" customWidth="1"/>
    <col min="22" max="22" width="46.1442307692308" style="9" customWidth="1"/>
    <col min="23" max="23" width="58.5673076923077" style="386" customWidth="1" outlineLevel="1"/>
    <col min="24" max="24" width="21.4230769230769" style="7" customWidth="1" outlineLevel="1"/>
    <col min="25" max="25" width="16.2884615384615" style="7" customWidth="1" outlineLevel="1"/>
    <col min="26" max="26" width="53.8557692307692" style="3" customWidth="1"/>
    <col min="27" max="27" width="14" style="10" customWidth="1"/>
  </cols>
  <sheetData>
    <row r="1" ht="76.5" customHeight="1" spans="1:27">
      <c r="A1" s="202">
        <f ca="1">TODAY()</f>
        <v>45969</v>
      </c>
      <c r="B1" s="203" t="s">
        <v>214</v>
      </c>
      <c r="C1" s="204"/>
      <c r="D1" s="14"/>
      <c r="E1" s="203" t="s">
        <v>214</v>
      </c>
      <c r="F1" s="13" t="s">
        <v>214</v>
      </c>
      <c r="G1" s="13" t="s">
        <v>214</v>
      </c>
      <c r="H1" s="15"/>
      <c r="I1" s="15"/>
      <c r="J1" s="205"/>
      <c r="K1" s="206"/>
      <c r="L1" s="16"/>
      <c r="M1" s="15"/>
      <c r="N1" s="17"/>
      <c r="O1" s="17"/>
      <c r="P1" s="367" t="s">
        <v>215</v>
      </c>
      <c r="Q1" s="44"/>
      <c r="R1" s="44"/>
      <c r="S1" s="15"/>
      <c r="T1" s="16"/>
      <c r="U1" s="207" t="s">
        <v>216</v>
      </c>
      <c r="V1" s="500" t="s">
        <v>217</v>
      </c>
      <c r="W1" s="501"/>
      <c r="X1" s="209"/>
      <c r="Y1" s="209"/>
      <c r="Z1" s="14"/>
      <c r="AA1" s="22"/>
    </row>
    <row r="2" ht="22.5" customHeight="1" spans="1:27">
      <c r="A2" s="26" t="s">
        <v>218</v>
      </c>
      <c r="B2" s="27" t="s">
        <v>219</v>
      </c>
      <c r="C2" s="28" t="s">
        <v>220</v>
      </c>
      <c r="D2" s="27" t="s">
        <v>221</v>
      </c>
      <c r="E2" s="29" t="s">
        <v>222</v>
      </c>
      <c r="F2" s="29" t="s">
        <v>223</v>
      </c>
      <c r="G2" s="30" t="s">
        <v>224</v>
      </c>
      <c r="H2" s="210" t="s">
        <v>225</v>
      </c>
      <c r="I2" s="211" t="s">
        <v>226</v>
      </c>
      <c r="J2" s="212" t="s">
        <v>227</v>
      </c>
      <c r="K2" s="27" t="s">
        <v>228</v>
      </c>
      <c r="L2" s="27" t="s">
        <v>229</v>
      </c>
      <c r="M2" s="27" t="s">
        <v>230</v>
      </c>
      <c r="N2" s="32" t="s">
        <v>231</v>
      </c>
      <c r="O2" s="213" t="s">
        <v>232</v>
      </c>
      <c r="P2" s="502" t="s">
        <v>233</v>
      </c>
      <c r="Q2" s="369" t="s">
        <v>234</v>
      </c>
      <c r="R2" s="215" t="s">
        <v>235</v>
      </c>
      <c r="S2" s="39" t="s">
        <v>236</v>
      </c>
      <c r="T2" s="91"/>
      <c r="U2" s="216" t="s">
        <v>237</v>
      </c>
      <c r="V2" s="216" t="s">
        <v>238</v>
      </c>
      <c r="W2" s="217" t="s">
        <v>239</v>
      </c>
      <c r="X2" s="218" t="s">
        <v>240</v>
      </c>
      <c r="Y2" s="36"/>
      <c r="Z2" s="219" t="s">
        <v>241</v>
      </c>
      <c r="AA2" s="221" t="s">
        <v>242</v>
      </c>
    </row>
    <row r="3" ht="21" customHeight="1" spans="1:27">
      <c r="A3" s="90"/>
      <c r="B3" s="90"/>
      <c r="C3" s="49"/>
      <c r="D3" s="90"/>
      <c r="E3" s="90"/>
      <c r="F3" s="90"/>
      <c r="G3" s="49"/>
      <c r="H3" s="114"/>
      <c r="I3" s="222"/>
      <c r="J3" s="37"/>
      <c r="K3" s="90"/>
      <c r="L3" s="90"/>
      <c r="M3" s="90"/>
      <c r="N3" s="90"/>
      <c r="O3" s="114"/>
      <c r="P3" s="90"/>
      <c r="Q3" s="373"/>
      <c r="R3" s="90"/>
      <c r="S3" s="223" t="s">
        <v>243</v>
      </c>
      <c r="T3" s="223" t="s">
        <v>244</v>
      </c>
      <c r="U3" s="90"/>
      <c r="V3" s="290"/>
      <c r="W3" s="49"/>
      <c r="X3" s="224" t="s">
        <v>245</v>
      </c>
      <c r="Y3" s="224" t="s">
        <v>246</v>
      </c>
      <c r="Z3" s="101"/>
      <c r="AA3" s="90"/>
    </row>
    <row r="4" ht="26.25" customHeight="1" spans="1:27">
      <c r="A4" s="45" t="s">
        <v>178</v>
      </c>
      <c r="B4" s="54" t="s">
        <v>247</v>
      </c>
      <c r="C4" s="100" t="s">
        <v>247</v>
      </c>
      <c r="D4" s="160" t="s">
        <v>248</v>
      </c>
      <c r="E4" s="160"/>
      <c r="F4" s="160"/>
      <c r="G4" s="54" t="s">
        <v>249</v>
      </c>
      <c r="H4" s="45" t="s">
        <v>180</v>
      </c>
      <c r="I4" s="154"/>
      <c r="J4" s="160" t="s">
        <v>250</v>
      </c>
      <c r="K4" s="243" t="s">
        <v>251</v>
      </c>
      <c r="L4" s="99">
        <v>44540</v>
      </c>
      <c r="M4" s="100">
        <v>2148</v>
      </c>
      <c r="N4" s="92">
        <v>910</v>
      </c>
      <c r="O4" s="162">
        <f t="shared" ref="O4:O18" si="0">M4-N4</f>
        <v>1238</v>
      </c>
      <c r="P4" s="163"/>
      <c r="Q4" s="154"/>
      <c r="R4" s="503"/>
      <c r="S4" s="166"/>
      <c r="T4" s="504"/>
      <c r="U4" s="285"/>
      <c r="V4" s="285"/>
      <c r="W4" s="69"/>
      <c r="X4" s="69"/>
      <c r="Y4" s="69"/>
      <c r="Z4" s="103"/>
      <c r="AA4" s="155">
        <f ca="1" t="shared" ref="AA4:AA18" si="1">A$1-L4</f>
        <v>1429</v>
      </c>
    </row>
    <row r="5" ht="26.25" customHeight="1" spans="1:27">
      <c r="A5" s="40" t="s">
        <v>178</v>
      </c>
      <c r="B5" s="53"/>
      <c r="C5" s="52"/>
      <c r="D5" s="103"/>
      <c r="E5" s="103"/>
      <c r="F5" s="103"/>
      <c r="G5" s="53"/>
      <c r="H5" s="40" t="s">
        <v>181</v>
      </c>
      <c r="I5" s="158"/>
      <c r="J5" s="103" t="s">
        <v>252</v>
      </c>
      <c r="K5" s="227" t="s">
        <v>251</v>
      </c>
      <c r="L5" s="61">
        <v>44540</v>
      </c>
      <c r="M5" s="52">
        <v>22</v>
      </c>
      <c r="N5" s="62"/>
      <c r="O5" s="63">
        <f t="shared" si="0"/>
        <v>22</v>
      </c>
      <c r="P5" s="505"/>
      <c r="Q5" s="158"/>
      <c r="R5" s="506"/>
      <c r="S5" s="158"/>
      <c r="T5" s="277"/>
      <c r="U5" s="69"/>
      <c r="V5" s="69"/>
      <c r="W5" s="69"/>
      <c r="X5" s="69"/>
      <c r="Y5" s="69"/>
      <c r="Z5" s="103"/>
      <c r="AA5" s="155">
        <f ca="1" t="shared" si="1"/>
        <v>1429</v>
      </c>
    </row>
    <row r="6" ht="26.25" customHeight="1" spans="1:27">
      <c r="A6" s="45" t="s">
        <v>253</v>
      </c>
      <c r="B6" s="54" t="s">
        <v>247</v>
      </c>
      <c r="C6" s="54" t="s">
        <v>254</v>
      </c>
      <c r="D6" s="160" t="s">
        <v>255</v>
      </c>
      <c r="E6" s="160"/>
      <c r="F6" s="160"/>
      <c r="G6" s="54" t="s">
        <v>249</v>
      </c>
      <c r="H6" s="45" t="s">
        <v>256</v>
      </c>
      <c r="I6" s="154"/>
      <c r="J6" s="160" t="s">
        <v>257</v>
      </c>
      <c r="K6" s="243" t="s">
        <v>258</v>
      </c>
      <c r="L6" s="99">
        <v>45106</v>
      </c>
      <c r="M6" s="298">
        <v>350</v>
      </c>
      <c r="N6" s="304"/>
      <c r="O6" s="335">
        <f t="shared" si="0"/>
        <v>350</v>
      </c>
      <c r="P6" s="507"/>
      <c r="Q6" s="508"/>
      <c r="R6" s="165"/>
      <c r="S6" s="154"/>
      <c r="T6" s="509"/>
      <c r="U6" s="69"/>
      <c r="V6" s="69"/>
      <c r="W6" s="69"/>
      <c r="X6" s="69"/>
      <c r="Y6" s="69"/>
      <c r="Z6" s="103"/>
      <c r="AA6" s="155">
        <f ca="1" t="shared" si="1"/>
        <v>863</v>
      </c>
    </row>
    <row r="7" ht="26.25" customHeight="1" spans="1:27">
      <c r="A7" s="90" t="s">
        <v>182</v>
      </c>
      <c r="B7" s="88" t="s">
        <v>247</v>
      </c>
      <c r="C7" s="79" t="s">
        <v>259</v>
      </c>
      <c r="D7" s="273" t="s">
        <v>260</v>
      </c>
      <c r="E7" s="273" t="s">
        <v>261</v>
      </c>
      <c r="F7" s="273" t="s">
        <v>262</v>
      </c>
      <c r="G7" s="88" t="s">
        <v>249</v>
      </c>
      <c r="H7" s="300" t="s">
        <v>263</v>
      </c>
      <c r="I7" s="301" t="s">
        <v>264</v>
      </c>
      <c r="J7" s="300" t="s">
        <v>265</v>
      </c>
      <c r="K7" s="299" t="s">
        <v>266</v>
      </c>
      <c r="L7" s="303">
        <v>45124</v>
      </c>
      <c r="M7" s="79">
        <v>800</v>
      </c>
      <c r="N7" s="81">
        <v>670</v>
      </c>
      <c r="O7" s="271">
        <f t="shared" si="0"/>
        <v>130</v>
      </c>
      <c r="P7" s="325"/>
      <c r="Q7" s="270" t="s">
        <v>267</v>
      </c>
      <c r="R7" s="296" t="s">
        <v>268</v>
      </c>
      <c r="S7" s="270" t="s">
        <v>269</v>
      </c>
      <c r="T7" s="510"/>
      <c r="U7" s="296"/>
      <c r="V7" s="296"/>
      <c r="W7" s="294"/>
      <c r="X7" s="294"/>
      <c r="Y7" s="294"/>
      <c r="Z7" s="273"/>
      <c r="AA7" s="155">
        <f ca="1" t="shared" si="1"/>
        <v>845</v>
      </c>
    </row>
    <row r="8" s="40" customFormat="1" ht="44.25" customHeight="1" spans="1:27">
      <c r="A8" s="40" t="s">
        <v>182</v>
      </c>
      <c r="B8" s="53" t="s">
        <v>247</v>
      </c>
      <c r="C8" s="52" t="s">
        <v>259</v>
      </c>
      <c r="D8" s="103" t="s">
        <v>262</v>
      </c>
      <c r="E8" s="103" t="s">
        <v>261</v>
      </c>
      <c r="F8" s="103" t="s">
        <v>262</v>
      </c>
      <c r="G8" s="53" t="s">
        <v>249</v>
      </c>
      <c r="H8" s="40" t="s">
        <v>270</v>
      </c>
      <c r="I8" s="158" t="s">
        <v>264</v>
      </c>
      <c r="J8" s="103" t="s">
        <v>271</v>
      </c>
      <c r="K8" s="227" t="s">
        <v>266</v>
      </c>
      <c r="L8" s="61">
        <v>45124</v>
      </c>
      <c r="M8" s="52">
        <v>630</v>
      </c>
      <c r="N8" s="62">
        <v>390</v>
      </c>
      <c r="O8" s="63">
        <f t="shared" si="0"/>
        <v>240</v>
      </c>
      <c r="P8" s="277"/>
      <c r="Q8" s="158" t="s">
        <v>267</v>
      </c>
      <c r="R8" s="84" t="s">
        <v>272</v>
      </c>
      <c r="S8" s="158" t="s">
        <v>269</v>
      </c>
      <c r="T8" s="277"/>
      <c r="U8" s="84"/>
      <c r="V8" s="84"/>
      <c r="W8" s="506"/>
      <c r="X8" s="69"/>
      <c r="Y8" s="69"/>
      <c r="Z8" s="103"/>
      <c r="AA8" s="155">
        <f ca="1" t="shared" si="1"/>
        <v>845</v>
      </c>
    </row>
    <row r="9" s="40" customFormat="1" ht="26.25" customHeight="1" spans="1:27">
      <c r="A9" s="40" t="s">
        <v>52</v>
      </c>
      <c r="B9" s="53" t="s">
        <v>247</v>
      </c>
      <c r="C9" s="53" t="s">
        <v>273</v>
      </c>
      <c r="D9" s="103" t="s">
        <v>274</v>
      </c>
      <c r="E9" s="103"/>
      <c r="F9" s="103"/>
      <c r="G9" s="53" t="s">
        <v>275</v>
      </c>
      <c r="H9" s="40" t="s">
        <v>53</v>
      </c>
      <c r="I9" s="158"/>
      <c r="J9" s="103" t="s">
        <v>276</v>
      </c>
      <c r="K9" s="227" t="s">
        <v>277</v>
      </c>
      <c r="L9" s="61">
        <v>45272</v>
      </c>
      <c r="M9" s="52">
        <v>15</v>
      </c>
      <c r="N9" s="62">
        <v>10</v>
      </c>
      <c r="O9" s="63">
        <f t="shared" si="0"/>
        <v>5</v>
      </c>
      <c r="P9" s="61"/>
      <c r="Q9" s="511"/>
      <c r="R9" s="174" t="s">
        <v>278</v>
      </c>
      <c r="S9" s="158" t="s">
        <v>269</v>
      </c>
      <c r="T9" s="61"/>
      <c r="U9" s="174"/>
      <c r="V9" s="174"/>
      <c r="W9" s="512"/>
      <c r="X9" s="174"/>
      <c r="Y9" s="174"/>
      <c r="Z9" s="103" t="s">
        <v>279</v>
      </c>
      <c r="AA9" s="155">
        <f ca="1" t="shared" si="1"/>
        <v>697</v>
      </c>
    </row>
    <row r="10" ht="26.25" customHeight="1" spans="1:27">
      <c r="A10" s="45" t="s">
        <v>280</v>
      </c>
      <c r="B10" s="54" t="s">
        <v>247</v>
      </c>
      <c r="C10" s="54" t="s">
        <v>281</v>
      </c>
      <c r="D10" s="160" t="s">
        <v>282</v>
      </c>
      <c r="E10" s="45"/>
      <c r="F10" s="160"/>
      <c r="G10" s="54" t="s">
        <v>283</v>
      </c>
      <c r="H10" s="45" t="s">
        <v>284</v>
      </c>
      <c r="I10" s="154"/>
      <c r="J10" s="160" t="s">
        <v>285</v>
      </c>
      <c r="K10" s="243" t="s">
        <v>286</v>
      </c>
      <c r="L10" s="99">
        <v>45317</v>
      </c>
      <c r="M10" s="100">
        <v>20</v>
      </c>
      <c r="N10" s="92">
        <v>19</v>
      </c>
      <c r="O10" s="162">
        <f t="shared" si="0"/>
        <v>1</v>
      </c>
      <c r="P10" s="99"/>
      <c r="Q10" s="513"/>
      <c r="R10" s="514" t="s">
        <v>287</v>
      </c>
      <c r="S10" s="166" t="s">
        <v>288</v>
      </c>
      <c r="T10" s="99">
        <v>45319</v>
      </c>
      <c r="U10" s="515"/>
      <c r="V10" s="515"/>
      <c r="W10" s="174" t="s">
        <v>289</v>
      </c>
      <c r="X10" s="516"/>
      <c r="Y10" s="516"/>
      <c r="Z10" s="160"/>
      <c r="AA10" s="155">
        <f ca="1" t="shared" si="1"/>
        <v>652</v>
      </c>
    </row>
    <row r="11" ht="26.25" customHeight="1" spans="1:27">
      <c r="A11" s="40" t="s">
        <v>280</v>
      </c>
      <c r="B11" s="53" t="s">
        <v>247</v>
      </c>
      <c r="C11" s="53" t="s">
        <v>281</v>
      </c>
      <c r="D11" s="103" t="s">
        <v>290</v>
      </c>
      <c r="E11" s="40"/>
      <c r="F11" s="103"/>
      <c r="G11" s="53" t="s">
        <v>283</v>
      </c>
      <c r="H11" s="40" t="s">
        <v>264</v>
      </c>
      <c r="I11" s="158"/>
      <c r="J11" s="300" t="s">
        <v>285</v>
      </c>
      <c r="K11" s="299" t="s">
        <v>286</v>
      </c>
      <c r="L11" s="303">
        <v>45317</v>
      </c>
      <c r="M11" s="298">
        <v>20</v>
      </c>
      <c r="N11" s="304">
        <v>19</v>
      </c>
      <c r="O11" s="335">
        <f t="shared" si="0"/>
        <v>1</v>
      </c>
      <c r="P11" s="303"/>
      <c r="Q11" s="511"/>
      <c r="R11" s="517" t="s">
        <v>287</v>
      </c>
      <c r="S11" s="112" t="s">
        <v>288</v>
      </c>
      <c r="T11" s="61">
        <v>45319</v>
      </c>
      <c r="U11" s="517"/>
      <c r="V11" s="517"/>
      <c r="W11" s="518" t="s">
        <v>289</v>
      </c>
      <c r="X11" s="174"/>
      <c r="Y11" s="174"/>
      <c r="Z11" s="103"/>
      <c r="AA11" s="155">
        <f ca="1" t="shared" si="1"/>
        <v>652</v>
      </c>
    </row>
    <row r="12" ht="26.25" customHeight="1" spans="1:27">
      <c r="A12" s="90" t="s">
        <v>291</v>
      </c>
      <c r="B12" s="88" t="s">
        <v>247</v>
      </c>
      <c r="C12" s="88" t="s">
        <v>292</v>
      </c>
      <c r="D12" s="273" t="s">
        <v>293</v>
      </c>
      <c r="E12" s="90"/>
      <c r="F12" s="273"/>
      <c r="G12" s="88" t="s">
        <v>247</v>
      </c>
      <c r="H12" s="90" t="s">
        <v>88</v>
      </c>
      <c r="I12" s="270" t="s">
        <v>269</v>
      </c>
      <c r="J12" s="273" t="s">
        <v>294</v>
      </c>
      <c r="K12" s="122" t="s">
        <v>295</v>
      </c>
      <c r="L12" s="80">
        <v>45395</v>
      </c>
      <c r="M12" s="88">
        <v>46</v>
      </c>
      <c r="N12" s="81">
        <v>40</v>
      </c>
      <c r="O12" s="271">
        <f t="shared" si="0"/>
        <v>6</v>
      </c>
      <c r="P12" s="80"/>
      <c r="Q12" s="513" t="s">
        <v>296</v>
      </c>
      <c r="R12" s="514" t="s">
        <v>297</v>
      </c>
      <c r="S12" s="508" t="s">
        <v>269</v>
      </c>
      <c r="T12" s="303"/>
      <c r="U12" s="519"/>
      <c r="V12" s="519"/>
      <c r="W12" s="517" t="s">
        <v>289</v>
      </c>
      <c r="X12" s="517"/>
      <c r="Y12" s="517"/>
      <c r="Z12" s="103"/>
      <c r="AA12" s="155">
        <f ca="1" t="shared" si="1"/>
        <v>574</v>
      </c>
    </row>
    <row r="13" ht="26.25" customHeight="1" spans="1:27">
      <c r="A13" s="520" t="s">
        <v>52</v>
      </c>
      <c r="B13" s="53" t="s">
        <v>247</v>
      </c>
      <c r="C13" s="53" t="s">
        <v>298</v>
      </c>
      <c r="D13" s="103" t="s">
        <v>299</v>
      </c>
      <c r="E13" s="103"/>
      <c r="F13" s="103"/>
      <c r="G13" s="53" t="s">
        <v>283</v>
      </c>
      <c r="H13" s="103" t="s">
        <v>300</v>
      </c>
      <c r="I13" s="158" t="s">
        <v>269</v>
      </c>
      <c r="J13" s="103" t="s">
        <v>301</v>
      </c>
      <c r="K13" s="94" t="s">
        <v>302</v>
      </c>
      <c r="L13" s="61">
        <v>45400</v>
      </c>
      <c r="M13" s="53">
        <v>10</v>
      </c>
      <c r="N13" s="62">
        <v>2</v>
      </c>
      <c r="O13" s="63">
        <f t="shared" si="0"/>
        <v>8</v>
      </c>
      <c r="P13" s="61"/>
      <c r="Q13" s="511"/>
      <c r="R13" s="517" t="s">
        <v>303</v>
      </c>
      <c r="S13" s="158" t="s">
        <v>269</v>
      </c>
      <c r="T13" s="61"/>
      <c r="U13" s="517"/>
      <c r="V13" s="517"/>
      <c r="W13" s="521"/>
      <c r="X13" s="174"/>
      <c r="Y13" s="174"/>
      <c r="Z13" s="103" t="s">
        <v>304</v>
      </c>
      <c r="AA13" s="155">
        <f ca="1" t="shared" si="1"/>
        <v>569</v>
      </c>
    </row>
    <row r="14" s="40" customFormat="1" ht="26.25" customHeight="1" spans="1:27">
      <c r="A14" s="40" t="s">
        <v>291</v>
      </c>
      <c r="B14" s="53" t="s">
        <v>247</v>
      </c>
      <c r="C14" s="53" t="s">
        <v>305</v>
      </c>
      <c r="D14" s="103" t="s">
        <v>293</v>
      </c>
      <c r="F14" s="103"/>
      <c r="G14" s="53" t="s">
        <v>306</v>
      </c>
      <c r="H14" s="40" t="s">
        <v>88</v>
      </c>
      <c r="I14" s="158" t="s">
        <v>269</v>
      </c>
      <c r="J14" s="103" t="s">
        <v>307</v>
      </c>
      <c r="K14" s="94" t="s">
        <v>308</v>
      </c>
      <c r="L14" s="61">
        <v>45404</v>
      </c>
      <c r="M14" s="53">
        <v>15</v>
      </c>
      <c r="N14" s="62"/>
      <c r="O14" s="63">
        <f t="shared" si="0"/>
        <v>15</v>
      </c>
      <c r="P14" s="61"/>
      <c r="Q14" s="511" t="s">
        <v>296</v>
      </c>
      <c r="R14" s="517" t="s">
        <v>309</v>
      </c>
      <c r="S14" s="158" t="s">
        <v>269</v>
      </c>
      <c r="T14" s="61"/>
      <c r="U14" s="517"/>
      <c r="V14" s="517"/>
      <c r="W14" s="522" t="s">
        <v>289</v>
      </c>
      <c r="X14" s="517"/>
      <c r="Y14" s="517"/>
      <c r="Z14" s="103"/>
      <c r="AA14" s="155">
        <f ca="1" t="shared" si="1"/>
        <v>565</v>
      </c>
    </row>
    <row r="15" ht="22.5" customHeight="1" spans="1:27">
      <c r="A15" s="160" t="s">
        <v>291</v>
      </c>
      <c r="B15" s="54" t="s">
        <v>247</v>
      </c>
      <c r="C15" s="54" t="s">
        <v>310</v>
      </c>
      <c r="D15" s="150" t="s">
        <v>311</v>
      </c>
      <c r="E15" s="45"/>
      <c r="F15" s="160"/>
      <c r="G15" s="54" t="s">
        <v>247</v>
      </c>
      <c r="H15" s="160" t="s">
        <v>312</v>
      </c>
      <c r="I15" s="154" t="s">
        <v>269</v>
      </c>
      <c r="J15" s="160" t="s">
        <v>313</v>
      </c>
      <c r="K15" s="243" t="s">
        <v>314</v>
      </c>
      <c r="L15" s="99">
        <v>45589</v>
      </c>
      <c r="M15" s="100">
        <v>79</v>
      </c>
      <c r="N15" s="92">
        <v>35</v>
      </c>
      <c r="O15" s="162">
        <f t="shared" si="0"/>
        <v>44</v>
      </c>
      <c r="P15" s="99"/>
      <c r="Q15" s="523" t="s">
        <v>296</v>
      </c>
      <c r="R15" s="524" t="s">
        <v>315</v>
      </c>
      <c r="S15" s="166"/>
      <c r="T15" s="525"/>
      <c r="U15" s="515"/>
      <c r="V15" s="515"/>
      <c r="W15" s="517"/>
      <c r="X15" s="517"/>
      <c r="Y15" s="517"/>
      <c r="Z15" s="103" t="s">
        <v>316</v>
      </c>
      <c r="AA15" s="155">
        <f ca="1" t="shared" si="1"/>
        <v>380</v>
      </c>
    </row>
    <row r="16" ht="26.25" customHeight="1" spans="1:27">
      <c r="A16" s="376" t="s">
        <v>317</v>
      </c>
      <c r="B16" s="53" t="s">
        <v>247</v>
      </c>
      <c r="C16" s="53" t="s">
        <v>318</v>
      </c>
      <c r="D16" s="94" t="s">
        <v>319</v>
      </c>
      <c r="E16" s="94"/>
      <c r="F16" s="94"/>
      <c r="G16" s="53" t="s">
        <v>283</v>
      </c>
      <c r="H16" s="94" t="s">
        <v>320</v>
      </c>
      <c r="I16" s="158" t="s">
        <v>321</v>
      </c>
      <c r="J16" s="94" t="s">
        <v>322</v>
      </c>
      <c r="K16" s="94" t="s">
        <v>323</v>
      </c>
      <c r="L16" s="61">
        <v>45624</v>
      </c>
      <c r="M16" s="52">
        <v>300</v>
      </c>
      <c r="N16" s="62">
        <v>200</v>
      </c>
      <c r="O16" s="63">
        <f t="shared" si="0"/>
        <v>100</v>
      </c>
      <c r="P16" s="526"/>
      <c r="Q16" s="158"/>
      <c r="R16" s="84" t="s">
        <v>324</v>
      </c>
      <c r="S16" s="112"/>
      <c r="T16" s="307"/>
      <c r="U16" s="84"/>
      <c r="V16" s="84"/>
      <c r="W16" s="174"/>
      <c r="X16" s="174"/>
      <c r="Y16" s="174"/>
      <c r="Z16" s="40"/>
      <c r="AA16" s="155">
        <f ca="1" t="shared" si="1"/>
        <v>345</v>
      </c>
    </row>
    <row r="17" ht="26.25" customHeight="1" spans="1:27">
      <c r="A17" s="40" t="s">
        <v>325</v>
      </c>
      <c r="B17" s="53" t="s">
        <v>247</v>
      </c>
      <c r="C17" s="52" t="s">
        <v>326</v>
      </c>
      <c r="D17" s="40" t="s">
        <v>327</v>
      </c>
      <c r="E17" s="40"/>
      <c r="F17" s="40"/>
      <c r="G17" s="53" t="s">
        <v>283</v>
      </c>
      <c r="H17" s="273" t="s">
        <v>59</v>
      </c>
      <c r="I17" s="270" t="s">
        <v>264</v>
      </c>
      <c r="J17" s="273" t="s">
        <v>328</v>
      </c>
      <c r="K17" s="273" t="s">
        <v>329</v>
      </c>
      <c r="L17" s="80">
        <v>45628</v>
      </c>
      <c r="M17" s="79">
        <v>10</v>
      </c>
      <c r="N17" s="81"/>
      <c r="O17" s="271">
        <f t="shared" si="0"/>
        <v>10</v>
      </c>
      <c r="P17" s="80"/>
      <c r="Q17" s="270"/>
      <c r="R17" s="295" t="s">
        <v>330</v>
      </c>
      <c r="S17" s="126" t="s">
        <v>269</v>
      </c>
      <c r="T17" s="527"/>
      <c r="U17" s="296"/>
      <c r="V17" s="296"/>
      <c r="W17" s="294"/>
      <c r="X17" s="294"/>
      <c r="Y17" s="294"/>
      <c r="Z17" s="273"/>
      <c r="AA17" s="241">
        <f ca="1" t="shared" si="1"/>
        <v>341</v>
      </c>
    </row>
    <row r="18" s="40" customFormat="1" ht="26.25" customHeight="1" spans="1:27">
      <c r="A18" s="45" t="s">
        <v>178</v>
      </c>
      <c r="B18" s="54"/>
      <c r="C18" s="100"/>
      <c r="D18" s="160"/>
      <c r="E18" s="45"/>
      <c r="F18" s="45"/>
      <c r="G18" s="54"/>
      <c r="H18" s="45" t="s">
        <v>331</v>
      </c>
      <c r="I18" s="154"/>
      <c r="J18" s="160" t="s">
        <v>332</v>
      </c>
      <c r="K18" s="243"/>
      <c r="L18" s="99"/>
      <c r="M18" s="100">
        <v>220</v>
      </c>
      <c r="N18" s="92">
        <v>1</v>
      </c>
      <c r="O18" s="162">
        <f t="shared" si="0"/>
        <v>219</v>
      </c>
      <c r="P18" s="99"/>
      <c r="Q18" s="154"/>
      <c r="R18" s="153" t="s">
        <v>333</v>
      </c>
      <c r="S18" s="154"/>
      <c r="T18" s="99"/>
      <c r="U18" s="153"/>
      <c r="V18" s="153"/>
      <c r="W18" s="69"/>
      <c r="X18" s="69"/>
      <c r="Y18" s="69"/>
      <c r="Z18" s="103"/>
      <c r="AA18" s="155">
        <f ca="1" t="shared" si="1"/>
        <v>45969</v>
      </c>
    </row>
  </sheetData>
  <mergeCells count="26">
    <mergeCell ref="P1:R1"/>
    <mergeCell ref="S2:T2"/>
    <mergeCell ref="X2:Y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U2:U3"/>
    <mergeCell ref="V2:V3"/>
    <mergeCell ref="W2:W3"/>
    <mergeCell ref="Z2:Z3"/>
    <mergeCell ref="AA2:AA3"/>
  </mergeCells>
  <conditionalFormatting sqref="C4:C17">
    <cfRule type="containsText" dxfId="0" priority="9" operator="between" text="√">
      <formula>NOT(ISERROR(SEARCH("√",C4)))</formula>
    </cfRule>
  </conditionalFormatting>
  <conditionalFormatting sqref="O1:O18">
    <cfRule type="cellIs" dxfId="1" priority="1" operator="equal">
      <formula>0</formula>
    </cfRule>
  </conditionalFormatting>
  <conditionalFormatting sqref="C1:C17 B2:B3">
    <cfRule type="containsText" dxfId="0" priority="3" operator="between" text="SO">
      <formula>NOT(ISERROR(SEARCH("SO",B1)))</formula>
    </cfRule>
  </conditionalFormatting>
  <conditionalFormatting sqref="D1:D3 D6 D13:D17">
    <cfRule type="containsText" dxfId="2" priority="4" operator="between" text="研发费用单">
      <formula>NOT(ISERROR(SEARCH("研发费用单",D1)))</formula>
    </cfRule>
  </conditionalFormatting>
  <conditionalFormatting sqref="T1:T2 T4:T17">
    <cfRule type="containsText" dxfId="3" priority="2" operator="between" text="预计">
      <formula>NOT(ISERROR(SEARCH("预计",T1)))</formula>
    </cfRule>
    <cfRule type="notContainsBlanks" dxfId="4" priority="6">
      <formula>LEN(TRIM(T1))&gt;0</formula>
    </cfRule>
  </conditionalFormatting>
  <conditionalFormatting sqref="B2:B17 G4:G6 G14 C15 G16:G17 C17">
    <cfRule type="containsText" dxfId="5" priority="8" operator="between" text="√">
      <formula>NOT(ISERROR(SEARCH("√",B2)))</formula>
    </cfRule>
  </conditionalFormatting>
  <conditionalFormatting sqref="K2:L3 R2:R3 K4 K6 K10:K17 D13:J13">
    <cfRule type="containsText" dxfId="6" priority="7" operator="between" text="系统">
      <formula>NOT(ISERROR(SEARCH("系统",D2)))</formula>
    </cfRule>
  </conditionalFormatting>
  <conditionalFormatting sqref="B4 G4:G6 B6 G12:G17 B14 B16:B17">
    <cfRule type="notContainsBlanks" dxfId="0" priority="5">
      <formula>LEN(TRIM(B4))&gt;0</formula>
    </cfRule>
  </conditionalFormatting>
  <dataValidations count="3">
    <dataValidation type="list" allowBlank="1" showInputMessage="1" showErrorMessage="1" sqref="I3:I200">
      <formula1>"DTK3,K30,DTK5,K50,K31,K70,/,K10,K70W,定制,K31W,"</formula1>
    </dataValidation>
    <dataValidation type="list" allowBlank="1" showInputMessage="1" showErrorMessage="1" sqref="Q3:Q200">
      <formula1>"研发-TBD,客户-TBD,已确认释放,"</formula1>
    </dataValidation>
    <dataValidation type="list" allowBlank="1" showInputMessage="1" showErrorMessage="1" sqref="S3:S200">
      <formula1>"中控线,按键线,蓝牙模块,安全芯片,磁环,保护膜,/,卡板,包材,"</formula1>
    </dataValidation>
  </dataValidation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【迪太生产】未出货订单明细（所有部门查看）">
    <tabColor rgb="FFD58EFF"/>
  </sheetPr>
  <dimension ref="A1:AC7"/>
  <sheetViews>
    <sheetView tabSelected="1" workbookViewId="0">
      <pane xSplit="9" ySplit="6" topLeftCell="U7" activePane="bottomRight" state="frozen"/>
      <selection/>
      <selection pane="topRight"/>
      <selection pane="bottomLeft"/>
      <selection pane="bottomRight" activeCell="AA13" sqref="AA13"/>
    </sheetView>
  </sheetViews>
  <sheetFormatPr defaultColWidth="13.7115384615385" defaultRowHeight="18" customHeight="1" outlineLevelRow="6"/>
  <cols>
    <col min="1" max="1" width="17.4230769230769" style="389" customWidth="1"/>
    <col min="2" max="2" width="13.8557692307692" style="390" customWidth="1" outlineLevel="1"/>
    <col min="3" max="3" width="20" style="391" customWidth="1" outlineLevel="1"/>
    <col min="4" max="4" width="18.5673076923077" style="392"/>
    <col min="5" max="6" width="13.7115384615385" style="392" customWidth="1" outlineLevel="1"/>
    <col min="7" max="7" width="13.5673076923077" style="390" customWidth="1"/>
    <col min="8" max="8" width="21.7115384615385" style="389" customWidth="1"/>
    <col min="9" max="9" width="9.56730769230769" style="391" customWidth="1"/>
    <col min="10" max="10" width="28.2884615384615" style="392" customWidth="1"/>
    <col min="11" max="11" width="17" style="393" customWidth="1"/>
    <col min="12" max="12" width="11.4230769230769" style="394" customWidth="1"/>
    <col min="13" max="13" width="8.85576923076923" style="391" customWidth="1"/>
    <col min="14" max="14" width="8.56730769230769" style="395" customWidth="1"/>
    <col min="15" max="15" width="9.14423076923077" style="396" customWidth="1"/>
    <col min="16" max="16" width="12.1442307692308" style="397" customWidth="1"/>
    <col min="17" max="17" width="25.2884615384615" style="398" customWidth="1"/>
    <col min="18" max="18" width="15.1442307692308" style="399" hidden="1" customWidth="1"/>
    <col min="19" max="19" width="54.4230769230769" style="400" customWidth="1"/>
    <col min="20" max="20" width="11.7115384615385" style="401" customWidth="1"/>
    <col min="21" max="21" width="18.5673076923077" style="402" customWidth="1"/>
    <col min="22" max="22" width="35.5673076923077" style="400" hidden="1" customWidth="1" outlineLevel="1"/>
    <col min="23" max="23" width="38.1442307692308" style="400" hidden="1" customWidth="1" outlineLevel="1"/>
    <col min="24" max="25" width="29" style="403" hidden="1" customWidth="1" outlineLevel="1"/>
    <col min="26" max="26" width="26.7115384615385" style="403" hidden="1" customWidth="1" outlineLevel="1"/>
    <col min="27" max="27" width="80.8557692307692" style="404" customWidth="1" collapsed="1"/>
    <col min="28" max="28" width="13.1442307692308" style="405" customWidth="1"/>
    <col min="29" max="29" width="10.1442307692308" style="406" customWidth="1"/>
  </cols>
  <sheetData>
    <row r="1" ht="76.5" customHeight="1" spans="1:29">
      <c r="A1" s="407">
        <f ca="1">TODAY()</f>
        <v>45969</v>
      </c>
      <c r="B1" s="408" t="s">
        <v>334</v>
      </c>
      <c r="C1" s="409"/>
      <c r="D1" s="409"/>
      <c r="E1" s="408" t="s">
        <v>334</v>
      </c>
      <c r="F1" s="408" t="s">
        <v>334</v>
      </c>
      <c r="G1" s="408" t="s">
        <v>334</v>
      </c>
      <c r="H1" s="410"/>
      <c r="I1" s="410"/>
      <c r="J1" s="411" t="s">
        <v>335</v>
      </c>
      <c r="K1" s="412"/>
      <c r="L1" s="413"/>
      <c r="M1" s="410"/>
      <c r="N1" s="414"/>
      <c r="O1" s="414"/>
      <c r="P1" s="415" t="s">
        <v>336</v>
      </c>
      <c r="Q1" s="415"/>
      <c r="R1" s="114"/>
      <c r="S1" s="40"/>
      <c r="T1" s="416"/>
      <c r="U1" s="417"/>
      <c r="V1" s="418" t="s">
        <v>337</v>
      </c>
      <c r="W1" s="419" t="s">
        <v>338</v>
      </c>
      <c r="X1" s="420"/>
      <c r="Y1" s="420"/>
      <c r="Z1" s="420"/>
      <c r="AA1" s="421"/>
      <c r="AB1" s="422"/>
      <c r="AC1" s="423"/>
    </row>
    <row r="2" s="388" customFormat="1" ht="76.5" customHeight="1" spans="1:29">
      <c r="A2" s="424" t="s">
        <v>339</v>
      </c>
      <c r="B2" s="425"/>
      <c r="C2" s="426"/>
      <c r="D2" s="426"/>
      <c r="E2" s="425"/>
      <c r="F2" s="425"/>
      <c r="G2" s="425"/>
      <c r="H2" s="427"/>
      <c r="I2" s="427"/>
      <c r="J2" s="428"/>
      <c r="K2" s="429"/>
      <c r="L2" s="430" t="s">
        <v>340</v>
      </c>
      <c r="M2" s="427"/>
      <c r="N2" s="431"/>
      <c r="O2" s="431"/>
      <c r="P2" s="432"/>
      <c r="Q2" s="433"/>
      <c r="R2" s="114"/>
      <c r="S2" s="40"/>
      <c r="T2" s="434" t="s">
        <v>341</v>
      </c>
      <c r="U2" s="435"/>
      <c r="V2" s="436"/>
      <c r="W2" s="437"/>
      <c r="X2" s="438"/>
      <c r="Y2" s="438"/>
      <c r="Z2" s="439"/>
      <c r="AA2" s="440"/>
      <c r="AB2" s="441"/>
      <c r="AC2" s="442" t="s">
        <v>341</v>
      </c>
    </row>
    <row r="3" s="388" customFormat="1" ht="76.5" customHeight="1" spans="1:29">
      <c r="A3" s="443" t="s">
        <v>342</v>
      </c>
      <c r="B3" s="444"/>
      <c r="C3" s="445"/>
      <c r="D3" s="445"/>
      <c r="E3" s="444"/>
      <c r="F3" s="444"/>
      <c r="G3" s="444"/>
      <c r="H3" s="446"/>
      <c r="I3" s="446"/>
      <c r="J3" s="447"/>
      <c r="K3" s="448"/>
      <c r="L3" s="449"/>
      <c r="M3" s="446"/>
      <c r="N3" s="431"/>
      <c r="O3" s="431"/>
      <c r="P3" s="415"/>
      <c r="Q3" s="433"/>
      <c r="R3" s="114"/>
      <c r="S3" s="40"/>
      <c r="T3" s="450"/>
      <c r="U3" s="451"/>
      <c r="V3" s="436"/>
      <c r="W3" s="437"/>
      <c r="X3" s="438"/>
      <c r="Y3" s="438"/>
      <c r="Z3" s="439"/>
      <c r="AA3" s="440"/>
      <c r="AB3" s="441"/>
      <c r="AC3" s="442"/>
    </row>
    <row r="4" s="388" customFormat="1" ht="76.5" customHeight="1" spans="1:29">
      <c r="A4" s="443"/>
      <c r="B4" s="425"/>
      <c r="C4" s="426"/>
      <c r="D4" s="426"/>
      <c r="E4" s="425"/>
      <c r="F4" s="425"/>
      <c r="G4" s="425"/>
      <c r="H4" s="446"/>
      <c r="I4" s="446"/>
      <c r="J4" s="447"/>
      <c r="K4" s="429"/>
      <c r="L4" s="449"/>
      <c r="M4" s="446"/>
      <c r="N4" s="452" t="s">
        <v>343</v>
      </c>
      <c r="O4" s="453"/>
      <c r="P4" s="415"/>
      <c r="Q4" s="433" t="s">
        <v>344</v>
      </c>
      <c r="R4" s="114"/>
      <c r="S4" s="40" t="s">
        <v>345</v>
      </c>
      <c r="T4" s="450"/>
      <c r="U4" s="451"/>
      <c r="V4" s="436"/>
      <c r="W4" s="437"/>
      <c r="X4" s="438"/>
      <c r="Y4" s="438"/>
      <c r="Z4" s="439"/>
      <c r="AA4" s="440" t="s">
        <v>346</v>
      </c>
      <c r="AB4" s="441" t="s">
        <v>347</v>
      </c>
      <c r="AC4" s="442"/>
    </row>
    <row r="5" ht="22.5" customHeight="1" spans="1:29">
      <c r="A5" s="454" t="s">
        <v>218</v>
      </c>
      <c r="B5" s="455" t="s">
        <v>219</v>
      </c>
      <c r="C5" s="455" t="s">
        <v>220</v>
      </c>
      <c r="D5" s="455" t="s">
        <v>221</v>
      </c>
      <c r="E5" s="456" t="s">
        <v>222</v>
      </c>
      <c r="F5" s="456" t="s">
        <v>223</v>
      </c>
      <c r="G5" s="457" t="s">
        <v>224</v>
      </c>
      <c r="H5" s="454" t="s">
        <v>225</v>
      </c>
      <c r="I5" s="454" t="s">
        <v>226</v>
      </c>
      <c r="J5" s="455" t="s">
        <v>227</v>
      </c>
      <c r="K5" s="455" t="s">
        <v>228</v>
      </c>
      <c r="L5" s="455" t="s">
        <v>348</v>
      </c>
      <c r="M5" s="455" t="s">
        <v>230</v>
      </c>
      <c r="N5" s="458" t="s">
        <v>231</v>
      </c>
      <c r="O5" s="459" t="s">
        <v>232</v>
      </c>
      <c r="P5" s="460" t="s">
        <v>349</v>
      </c>
      <c r="Q5" s="461" t="s">
        <v>350</v>
      </c>
      <c r="R5" s="462" t="s">
        <v>234</v>
      </c>
      <c r="S5" s="457" t="s">
        <v>235</v>
      </c>
      <c r="T5" s="463" t="s">
        <v>236</v>
      </c>
      <c r="U5" s="91"/>
      <c r="V5" s="464" t="s">
        <v>351</v>
      </c>
      <c r="W5" s="464" t="s">
        <v>352</v>
      </c>
      <c r="X5" s="465" t="s">
        <v>353</v>
      </c>
      <c r="Y5" s="466" t="s">
        <v>240</v>
      </c>
      <c r="Z5" s="46"/>
      <c r="AA5" s="467" t="s">
        <v>354</v>
      </c>
      <c r="AB5" s="468" t="s">
        <v>355</v>
      </c>
      <c r="AC5" s="469" t="s">
        <v>356</v>
      </c>
    </row>
    <row r="6" ht="25.5" customHeight="1" spans="1:29">
      <c r="A6" s="470"/>
      <c r="B6" s="40"/>
      <c r="C6" s="40"/>
      <c r="D6" s="40"/>
      <c r="E6" s="40"/>
      <c r="F6" s="40"/>
      <c r="G6" s="40"/>
      <c r="H6" s="40"/>
      <c r="I6" s="471"/>
      <c r="J6" s="40"/>
      <c r="K6" s="40"/>
      <c r="L6" s="40"/>
      <c r="M6" s="40"/>
      <c r="N6" s="40"/>
      <c r="O6" s="40"/>
      <c r="P6" s="472"/>
      <c r="Q6" s="473"/>
      <c r="R6" s="474"/>
      <c r="S6" s="40"/>
      <c r="T6" s="475" t="s">
        <v>357</v>
      </c>
      <c r="U6" s="475" t="s">
        <v>244</v>
      </c>
      <c r="V6" s="40"/>
      <c r="W6" s="115"/>
      <c r="X6" s="465" t="s">
        <v>358</v>
      </c>
      <c r="Y6" s="466" t="s">
        <v>245</v>
      </c>
      <c r="Z6" s="476" t="s">
        <v>246</v>
      </c>
      <c r="AA6" s="40"/>
      <c r="AB6" s="156"/>
      <c r="AC6" s="472"/>
    </row>
    <row r="7" s="49" customFormat="1" ht="26.25" customHeight="1" spans="1:29">
      <c r="A7" s="477" t="s">
        <v>359</v>
      </c>
      <c r="B7" s="478" t="s">
        <v>247</v>
      </c>
      <c r="C7" s="401" t="s">
        <v>360</v>
      </c>
      <c r="D7" s="479" t="s">
        <v>361</v>
      </c>
      <c r="E7" s="480"/>
      <c r="F7" s="481"/>
      <c r="G7" s="478" t="s">
        <v>247</v>
      </c>
      <c r="H7" s="479" t="s">
        <v>362</v>
      </c>
      <c r="I7" s="482" t="s">
        <v>321</v>
      </c>
      <c r="J7" s="483">
        <v>2509120008</v>
      </c>
      <c r="K7" s="484" t="s">
        <v>363</v>
      </c>
      <c r="L7" s="402">
        <v>45913</v>
      </c>
      <c r="M7" s="478">
        <v>110</v>
      </c>
      <c r="N7" s="485">
        <v>110</v>
      </c>
      <c r="O7" s="486">
        <f>M7-N7</f>
        <v>0</v>
      </c>
      <c r="P7" s="487">
        <v>45957</v>
      </c>
      <c r="Q7" s="488">
        <v>45957</v>
      </c>
      <c r="R7" s="489"/>
      <c r="S7" s="490" t="s">
        <v>364</v>
      </c>
      <c r="T7" s="491" t="s">
        <v>269</v>
      </c>
      <c r="U7" s="492"/>
      <c r="V7" s="493"/>
      <c r="W7" s="494"/>
      <c r="X7" s="495"/>
      <c r="Y7" s="496"/>
      <c r="Z7" s="496"/>
      <c r="AA7" s="497"/>
      <c r="AB7" s="498">
        <f ca="1">A$1-L7</f>
        <v>56</v>
      </c>
      <c r="AC7" s="499"/>
    </row>
  </sheetData>
  <mergeCells count="29">
    <mergeCell ref="P1:S1"/>
    <mergeCell ref="T2:U2"/>
    <mergeCell ref="N4:O4"/>
    <mergeCell ref="T5:U5"/>
    <mergeCell ref="Y5:Z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V5:V6"/>
    <mergeCell ref="W5:W6"/>
    <mergeCell ref="AA5:AA6"/>
    <mergeCell ref="AB5:AB6"/>
    <mergeCell ref="AC5:AC6"/>
  </mergeCells>
  <conditionalFormatting sqref="C7">
    <cfRule type="containsText" dxfId="0" priority="9" operator="between" text="√">
      <formula>NOT(ISERROR(SEARCH("√",C7)))</formula>
    </cfRule>
  </conditionalFormatting>
  <conditionalFormatting sqref="D1:D6">
    <cfRule type="containsText" dxfId="2" priority="4" operator="between" text="研发费用单">
      <formula>NOT(ISERROR(SEARCH("研发费用单",D1)))</formula>
    </cfRule>
  </conditionalFormatting>
  <conditionalFormatting sqref="C1:C7 B5:B6">
    <cfRule type="containsText" dxfId="0" priority="3" operator="between" text="SO">
      <formula>NOT(ISERROR(SEARCH("SO",B1)))</formula>
    </cfRule>
  </conditionalFormatting>
  <conditionalFormatting sqref="O1:O3 O5:O7">
    <cfRule type="cellIs" dxfId="1" priority="1" operator="equal">
      <formula>0</formula>
    </cfRule>
  </conditionalFormatting>
  <conditionalFormatting sqref="U1 U7 U3:U5">
    <cfRule type="containsText" dxfId="3" priority="2" operator="between" text="预计">
      <formula>NOT(ISERROR(SEARCH("预计",U1)))</formula>
    </cfRule>
    <cfRule type="notContainsBlanks" dxfId="4" priority="6">
      <formula>LEN(TRIM(U1))&gt;0</formula>
    </cfRule>
  </conditionalFormatting>
  <conditionalFormatting sqref="B5:B7 G7">
    <cfRule type="containsText" dxfId="5" priority="8" operator="between" text="√">
      <formula>NOT(ISERROR(SEARCH("√",B5)))</formula>
    </cfRule>
  </conditionalFormatting>
  <conditionalFormatting sqref="K5:L6 S5:S6">
    <cfRule type="containsText" dxfId="6" priority="7" operator="between" text="系统">
      <formula>NOT(ISERROR(SEARCH("系统",K5)))</formula>
    </cfRule>
  </conditionalFormatting>
  <conditionalFormatting sqref="B7 G7">
    <cfRule type="notContainsBlanks" dxfId="0" priority="5">
      <formula>LEN(TRIM(B7))&gt;0</formula>
    </cfRule>
  </conditionalFormatting>
  <dataValidations count="4">
    <dataValidation type="list" allowBlank="1" showInputMessage="1" showErrorMessage="1" sqref="I7 I8:I1048576">
      <formula1>"/,DTK5,K50,K30,DTK3,K70W,K31,K10,K70,K71V,K31W,"</formula1>
    </dataValidation>
    <dataValidation type="list" allowBlank="1" showInputMessage="1" showErrorMessage="1" sqref="R7 R8:R1048576">
      <formula1>"已确认释放,客户未释放,研发未释放,"</formula1>
    </dataValidation>
    <dataValidation type="list" allowBlank="1" showInputMessage="1" showErrorMessage="1" sqref="T7 T8:T1048576">
      <formula1>"/,中控线,按键线,丝印保护膜,"</formula1>
    </dataValidation>
    <dataValidation type="list" allowBlank="1" showInputMessage="1" showErrorMessage="1" sqref="AC7 AC8:AC1048576">
      <formula1>"是,否,"</formula1>
    </dataValidation>
  </dataValidations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【L182&amp;L401】待交货订单明细"/>
  <dimension ref="A1:V3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3.7115384615385" defaultRowHeight="18" customHeight="1"/>
  <cols>
    <col min="1" max="1" width="15" style="11" customWidth="1"/>
    <col min="2" max="2" width="10.5673076923077" style="2" customWidth="1" outlineLevel="1"/>
    <col min="3" max="3" width="17" style="1" customWidth="1" outlineLevel="1"/>
    <col min="4" max="4" width="18.5673076923077" style="3" collapsed="1"/>
    <col min="5" max="5" width="18.8557692307692" style="3" hidden="1" outlineLevel="1"/>
    <col min="6" max="6" width="21.1442307692308" style="3" hidden="1" outlineLevel="1"/>
    <col min="7" max="7" width="13.5673076923077" style="2" customWidth="1" outlineLevel="1" collapsed="1"/>
    <col min="8" max="8" width="14.8557692307692" style="11" customWidth="1"/>
    <col min="9" max="9" width="9.56730769230769" style="1" customWidth="1"/>
    <col min="10" max="10" width="21.2884615384615" style="3" customWidth="1"/>
    <col min="11" max="11" width="18.1442307692308" style="201" customWidth="1"/>
    <col min="12" max="12" width="14.8557692307692" style="4" customWidth="1"/>
    <col min="13" max="13" width="8.85576923076923" style="1" hidden="1" customWidth="1"/>
    <col min="14" max="14" width="8.56730769230769" style="5" hidden="1" customWidth="1"/>
    <col min="15" max="15" width="9.14423076923077" style="6" customWidth="1"/>
    <col min="16" max="16" width="15.8557692307692" style="7" customWidth="1"/>
    <col min="17" max="17" width="15.1442307692308" style="7" hidden="1" customWidth="1"/>
    <col min="18" max="18" width="44.1442307692308" style="9" hidden="1" customWidth="1"/>
    <col min="19" max="19" width="28" style="9" customWidth="1" outlineLevel="1"/>
    <col min="20" max="22" width="22" style="366" customWidth="1" outlineLevel="1"/>
  </cols>
  <sheetData>
    <row r="1" ht="76.5" customHeight="1" spans="1:22">
      <c r="A1" s="202">
        <f ca="1">TODAY()</f>
        <v>45969</v>
      </c>
      <c r="B1" s="203" t="s">
        <v>214</v>
      </c>
      <c r="C1" s="204"/>
      <c r="D1" s="14"/>
      <c r="E1" s="203" t="s">
        <v>214</v>
      </c>
      <c r="F1" s="13" t="s">
        <v>214</v>
      </c>
      <c r="G1" s="13" t="s">
        <v>214</v>
      </c>
      <c r="H1" s="15"/>
      <c r="I1" s="15"/>
      <c r="J1" s="205"/>
      <c r="K1" s="206"/>
      <c r="L1" s="16"/>
      <c r="M1" s="15"/>
      <c r="N1" s="17"/>
      <c r="O1" s="17"/>
      <c r="P1" s="367" t="s">
        <v>365</v>
      </c>
      <c r="Q1" s="44"/>
      <c r="R1" s="44"/>
      <c r="S1" s="208"/>
      <c r="T1" s="368"/>
      <c r="U1" s="368"/>
      <c r="V1" s="368"/>
    </row>
    <row r="2" ht="22.5" customHeight="1" spans="1:22">
      <c r="A2" s="26" t="s">
        <v>63</v>
      </c>
      <c r="B2" s="27" t="s">
        <v>219</v>
      </c>
      <c r="C2" s="28" t="s">
        <v>220</v>
      </c>
      <c r="D2" s="27" t="s">
        <v>221</v>
      </c>
      <c r="E2" s="29" t="s">
        <v>222</v>
      </c>
      <c r="F2" s="29" t="s">
        <v>223</v>
      </c>
      <c r="G2" s="30" t="s">
        <v>224</v>
      </c>
      <c r="H2" s="210" t="s">
        <v>225</v>
      </c>
      <c r="I2" s="211" t="s">
        <v>226</v>
      </c>
      <c r="J2" s="212" t="s">
        <v>227</v>
      </c>
      <c r="K2" s="27" t="s">
        <v>228</v>
      </c>
      <c r="L2" s="27" t="s">
        <v>229</v>
      </c>
      <c r="M2" s="27" t="s">
        <v>230</v>
      </c>
      <c r="N2" s="32" t="s">
        <v>231</v>
      </c>
      <c r="O2" s="213" t="s">
        <v>232</v>
      </c>
      <c r="P2" s="214" t="s">
        <v>366</v>
      </c>
      <c r="Q2" s="369" t="s">
        <v>234</v>
      </c>
      <c r="R2" s="215" t="s">
        <v>235</v>
      </c>
      <c r="S2" s="370" t="s">
        <v>367</v>
      </c>
      <c r="T2" s="371" t="s">
        <v>368</v>
      </c>
      <c r="U2" s="372" t="s">
        <v>369</v>
      </c>
      <c r="V2" s="372" t="s">
        <v>370</v>
      </c>
    </row>
    <row r="3" ht="22.5" customHeight="1" spans="1:22">
      <c r="A3" s="90"/>
      <c r="B3" s="90"/>
      <c r="C3" s="49"/>
      <c r="D3" s="90"/>
      <c r="E3" s="90"/>
      <c r="F3" s="90"/>
      <c r="G3" s="49"/>
      <c r="H3" s="114"/>
      <c r="I3" s="222"/>
      <c r="J3" s="37"/>
      <c r="K3" s="90"/>
      <c r="L3" s="90"/>
      <c r="M3" s="90"/>
      <c r="N3" s="90"/>
      <c r="O3" s="114"/>
      <c r="P3" s="90"/>
      <c r="Q3" s="373"/>
      <c r="R3" s="90"/>
      <c r="S3" s="101"/>
      <c r="T3" s="374"/>
      <c r="U3" s="375"/>
      <c r="V3" s="375"/>
    </row>
    <row r="4" s="90" customFormat="1" ht="26.25" customHeight="1" spans="1:22">
      <c r="A4" s="376" t="s">
        <v>27</v>
      </c>
      <c r="B4" s="53" t="s">
        <v>247</v>
      </c>
      <c r="C4" s="52" t="s">
        <v>371</v>
      </c>
      <c r="D4" s="265" t="s">
        <v>33</v>
      </c>
      <c r="E4" s="40"/>
      <c r="F4" s="40"/>
      <c r="G4" s="53" t="s">
        <v>283</v>
      </c>
      <c r="H4" s="103" t="s">
        <v>32</v>
      </c>
      <c r="I4" s="158" t="s">
        <v>269</v>
      </c>
      <c r="J4" s="227" t="s">
        <v>372</v>
      </c>
      <c r="K4" s="227" t="s">
        <v>373</v>
      </c>
      <c r="L4" s="61">
        <v>45764</v>
      </c>
      <c r="M4" s="52">
        <v>200</v>
      </c>
      <c r="N4" s="62"/>
      <c r="O4" s="63">
        <f>M4-N4</f>
        <v>200</v>
      </c>
      <c r="P4" s="377">
        <v>45811</v>
      </c>
      <c r="Q4" s="158"/>
      <c r="R4" s="272" t="s">
        <v>374</v>
      </c>
      <c r="S4" s="378" t="s">
        <v>375</v>
      </c>
      <c r="T4" s="379" t="s">
        <v>376</v>
      </c>
      <c r="U4" s="380"/>
      <c r="V4" s="380"/>
    </row>
    <row r="5" s="40" customFormat="1" ht="26.25" customHeight="1" spans="1:22">
      <c r="A5" s="376" t="s">
        <v>27</v>
      </c>
      <c r="B5" s="53" t="s">
        <v>247</v>
      </c>
      <c r="C5" s="52" t="s">
        <v>377</v>
      </c>
      <c r="D5" s="103" t="s">
        <v>378</v>
      </c>
      <c r="E5" s="103"/>
      <c r="F5" s="103"/>
      <c r="G5" s="53" t="s">
        <v>247</v>
      </c>
      <c r="H5" s="103" t="s">
        <v>379</v>
      </c>
      <c r="I5" s="158" t="s">
        <v>284</v>
      </c>
      <c r="J5" s="94" t="s">
        <v>380</v>
      </c>
      <c r="K5" s="94" t="s">
        <v>381</v>
      </c>
      <c r="L5" s="61">
        <v>45706</v>
      </c>
      <c r="M5" s="52">
        <v>216</v>
      </c>
      <c r="N5" s="62"/>
      <c r="O5" s="63">
        <f>M5-N5</f>
        <v>216</v>
      </c>
      <c r="P5" s="377">
        <v>45812</v>
      </c>
      <c r="Q5" s="158" t="s">
        <v>296</v>
      </c>
      <c r="R5" s="272" t="s">
        <v>382</v>
      </c>
      <c r="S5" s="381" t="s">
        <v>383</v>
      </c>
      <c r="T5" s="379" t="s">
        <v>247</v>
      </c>
      <c r="U5" s="380"/>
      <c r="V5" s="380"/>
    </row>
    <row r="6" s="40" customFormat="1" ht="26.25" customHeight="1" spans="1:22">
      <c r="A6" s="376" t="s">
        <v>27</v>
      </c>
      <c r="B6" s="53" t="s">
        <v>247</v>
      </c>
      <c r="C6" s="52" t="s">
        <v>377</v>
      </c>
      <c r="D6" s="103" t="s">
        <v>384</v>
      </c>
      <c r="E6" s="103"/>
      <c r="F6" s="103"/>
      <c r="G6" s="53" t="s">
        <v>283</v>
      </c>
      <c r="H6" s="103" t="s">
        <v>35</v>
      </c>
      <c r="I6" s="158" t="s">
        <v>269</v>
      </c>
      <c r="J6" s="94" t="s">
        <v>380</v>
      </c>
      <c r="K6" s="94" t="s">
        <v>381</v>
      </c>
      <c r="L6" s="61">
        <v>45706</v>
      </c>
      <c r="M6" s="52">
        <v>210</v>
      </c>
      <c r="N6" s="62"/>
      <c r="O6" s="63">
        <f>M6-N6</f>
        <v>210</v>
      </c>
      <c r="P6" s="377">
        <v>45812</v>
      </c>
      <c r="Q6" s="158" t="s">
        <v>296</v>
      </c>
      <c r="R6" s="272" t="s">
        <v>382</v>
      </c>
      <c r="S6" s="381" t="s">
        <v>385</v>
      </c>
      <c r="T6" s="379" t="s">
        <v>376</v>
      </c>
      <c r="U6" s="380"/>
      <c r="V6" s="380"/>
    </row>
    <row r="7" s="40" customFormat="1" ht="26.25" customHeight="1" spans="1:22">
      <c r="A7" s="40" t="s">
        <v>27</v>
      </c>
      <c r="B7" s="53" t="s">
        <v>247</v>
      </c>
      <c r="C7" s="52" t="s">
        <v>386</v>
      </c>
      <c r="D7" s="265" t="s">
        <v>387</v>
      </c>
      <c r="E7" s="40"/>
      <c r="F7" s="40"/>
      <c r="G7" s="53" t="s">
        <v>283</v>
      </c>
      <c r="H7" s="103" t="s">
        <v>388</v>
      </c>
      <c r="I7" s="158" t="s">
        <v>269</v>
      </c>
      <c r="J7" s="227" t="s">
        <v>389</v>
      </c>
      <c r="K7" s="227" t="s">
        <v>373</v>
      </c>
      <c r="L7" s="61">
        <v>45764</v>
      </c>
      <c r="M7" s="52">
        <v>1000</v>
      </c>
      <c r="N7" s="62"/>
      <c r="O7" s="63">
        <f>M7-N7</f>
        <v>1000</v>
      </c>
      <c r="P7" s="377">
        <v>45814</v>
      </c>
      <c r="Q7" s="158"/>
      <c r="R7" s="272" t="s">
        <v>390</v>
      </c>
      <c r="S7" s="381" t="s">
        <v>383</v>
      </c>
      <c r="T7" s="379" t="s">
        <v>376</v>
      </c>
      <c r="U7" s="380"/>
      <c r="V7" s="380"/>
    </row>
    <row r="8" s="40" customFormat="1" ht="26.25" customHeight="1" spans="1:22">
      <c r="A8" s="40" t="s">
        <v>27</v>
      </c>
      <c r="B8" s="53" t="s">
        <v>247</v>
      </c>
      <c r="C8" s="52" t="s">
        <v>391</v>
      </c>
      <c r="D8" s="265" t="s">
        <v>392</v>
      </c>
      <c r="E8" s="40"/>
      <c r="F8" s="40"/>
      <c r="G8" s="53" t="s">
        <v>283</v>
      </c>
      <c r="H8" s="265" t="s">
        <v>47</v>
      </c>
      <c r="I8" s="158" t="s">
        <v>284</v>
      </c>
      <c r="J8" s="265" t="s">
        <v>393</v>
      </c>
      <c r="K8" s="276" t="s">
        <v>394</v>
      </c>
      <c r="L8" s="61">
        <v>45805</v>
      </c>
      <c r="M8" s="157">
        <v>10</v>
      </c>
      <c r="N8" s="62"/>
      <c r="O8" s="63">
        <v>10</v>
      </c>
      <c r="P8" s="382">
        <v>45819</v>
      </c>
      <c r="Q8" s="158"/>
      <c r="R8" s="272"/>
      <c r="S8" s="381" t="s">
        <v>395</v>
      </c>
      <c r="T8" s="379" t="s">
        <v>247</v>
      </c>
      <c r="U8" s="380"/>
      <c r="V8" s="380"/>
    </row>
    <row r="9" s="40" customFormat="1" ht="26.25" customHeight="1" spans="1:22">
      <c r="A9" s="40" t="s">
        <v>27</v>
      </c>
      <c r="B9" s="53" t="s">
        <v>247</v>
      </c>
      <c r="C9" s="52" t="s">
        <v>391</v>
      </c>
      <c r="D9" s="265" t="s">
        <v>396</v>
      </c>
      <c r="E9" s="40"/>
      <c r="F9" s="40"/>
      <c r="G9" s="53" t="s">
        <v>283</v>
      </c>
      <c r="H9" s="265" t="s">
        <v>397</v>
      </c>
      <c r="I9" s="158" t="s">
        <v>284</v>
      </c>
      <c r="J9" s="265" t="s">
        <v>393</v>
      </c>
      <c r="K9" s="276" t="s">
        <v>394</v>
      </c>
      <c r="L9" s="61">
        <v>45805</v>
      </c>
      <c r="M9" s="157">
        <v>15</v>
      </c>
      <c r="N9" s="62"/>
      <c r="O9" s="63">
        <v>15</v>
      </c>
      <c r="P9" s="382">
        <v>45819</v>
      </c>
      <c r="Q9" s="158"/>
      <c r="R9" s="272"/>
      <c r="S9" s="381" t="s">
        <v>398</v>
      </c>
      <c r="T9" s="379" t="s">
        <v>247</v>
      </c>
      <c r="U9" s="380"/>
      <c r="V9" s="380"/>
    </row>
    <row r="10" s="90" customFormat="1" ht="26.25" customHeight="1" spans="1:22">
      <c r="A10" s="40" t="s">
        <v>399</v>
      </c>
      <c r="B10" s="53" t="s">
        <v>247</v>
      </c>
      <c r="C10" s="52" t="s">
        <v>400</v>
      </c>
      <c r="D10" s="265" t="s">
        <v>401</v>
      </c>
      <c r="E10" s="40"/>
      <c r="F10" s="40"/>
      <c r="G10" s="53" t="s">
        <v>247</v>
      </c>
      <c r="H10" s="103" t="s">
        <v>402</v>
      </c>
      <c r="I10" s="158" t="s">
        <v>269</v>
      </c>
      <c r="J10" s="226" t="s">
        <v>403</v>
      </c>
      <c r="K10" s="227" t="s">
        <v>404</v>
      </c>
      <c r="L10" s="61">
        <v>45792</v>
      </c>
      <c r="M10" s="137">
        <v>300</v>
      </c>
      <c r="N10" s="62"/>
      <c r="O10" s="63">
        <f t="shared" ref="O10:O22" si="0">M10-N10</f>
        <v>300</v>
      </c>
      <c r="P10" s="61">
        <v>45824</v>
      </c>
      <c r="Q10" s="158"/>
      <c r="R10" s="111"/>
      <c r="S10" s="378" t="s">
        <v>405</v>
      </c>
      <c r="T10" s="379" t="s">
        <v>247</v>
      </c>
      <c r="U10" s="380"/>
      <c r="V10" s="380"/>
    </row>
    <row r="11" s="90" customFormat="1" ht="26.25" customHeight="1" spans="1:22">
      <c r="A11" s="40" t="s">
        <v>399</v>
      </c>
      <c r="B11" s="53" t="s">
        <v>247</v>
      </c>
      <c r="C11" s="52" t="s">
        <v>400</v>
      </c>
      <c r="D11" s="103" t="s">
        <v>401</v>
      </c>
      <c r="E11" s="40"/>
      <c r="F11" s="40"/>
      <c r="G11" s="53" t="s">
        <v>247</v>
      </c>
      <c r="H11" s="103" t="s">
        <v>402</v>
      </c>
      <c r="I11" s="158" t="s">
        <v>269</v>
      </c>
      <c r="J11" s="226" t="s">
        <v>403</v>
      </c>
      <c r="K11" s="227" t="s">
        <v>404</v>
      </c>
      <c r="L11" s="61">
        <v>45792</v>
      </c>
      <c r="M11" s="137">
        <v>1</v>
      </c>
      <c r="N11" s="62"/>
      <c r="O11" s="63">
        <f t="shared" si="0"/>
        <v>1</v>
      </c>
      <c r="P11" s="61">
        <v>45824</v>
      </c>
      <c r="Q11" s="158"/>
      <c r="R11" s="111"/>
      <c r="S11" s="378" t="s">
        <v>405</v>
      </c>
      <c r="T11" s="379" t="s">
        <v>247</v>
      </c>
      <c r="U11" s="380"/>
      <c r="V11" s="380"/>
    </row>
    <row r="12" s="90" customFormat="1" ht="26.25" customHeight="1" spans="1:22">
      <c r="A12" s="40" t="s">
        <v>122</v>
      </c>
      <c r="B12" s="53" t="s">
        <v>247</v>
      </c>
      <c r="C12" s="52" t="s">
        <v>406</v>
      </c>
      <c r="D12" s="40" t="s">
        <v>407</v>
      </c>
      <c r="E12" s="40"/>
      <c r="F12" s="40"/>
      <c r="G12" s="53" t="s">
        <v>283</v>
      </c>
      <c r="H12" s="103" t="s">
        <v>123</v>
      </c>
      <c r="I12" s="158" t="s">
        <v>269</v>
      </c>
      <c r="J12" s="226" t="s">
        <v>408</v>
      </c>
      <c r="K12" s="227" t="s">
        <v>409</v>
      </c>
      <c r="L12" s="61">
        <v>45740</v>
      </c>
      <c r="M12" s="137">
        <v>360</v>
      </c>
      <c r="N12" s="62"/>
      <c r="O12" s="63">
        <f t="shared" si="0"/>
        <v>360</v>
      </c>
      <c r="P12" s="61">
        <v>45826</v>
      </c>
      <c r="Q12" s="158" t="s">
        <v>296</v>
      </c>
      <c r="R12" s="111" t="s">
        <v>410</v>
      </c>
      <c r="S12" s="378" t="s">
        <v>411</v>
      </c>
      <c r="T12" s="379" t="s">
        <v>376</v>
      </c>
      <c r="U12" s="380"/>
    </row>
    <row r="13" s="40" customFormat="1" ht="26.25" customHeight="1" spans="1:22">
      <c r="A13" s="40" t="s">
        <v>178</v>
      </c>
      <c r="B13" s="53" t="s">
        <v>247</v>
      </c>
      <c r="C13" s="52" t="s">
        <v>412</v>
      </c>
      <c r="D13" s="265" t="s">
        <v>413</v>
      </c>
      <c r="E13" s="40"/>
      <c r="F13" s="40"/>
      <c r="G13" s="53" t="s">
        <v>414</v>
      </c>
      <c r="H13" s="265" t="s">
        <v>415</v>
      </c>
      <c r="I13" s="158" t="s">
        <v>269</v>
      </c>
      <c r="J13" s="265" t="s">
        <v>416</v>
      </c>
      <c r="K13" s="276" t="s">
        <v>417</v>
      </c>
      <c r="L13" s="61">
        <v>45793</v>
      </c>
      <c r="M13" s="157">
        <v>100</v>
      </c>
      <c r="N13" s="62"/>
      <c r="O13" s="63">
        <f t="shared" si="0"/>
        <v>100</v>
      </c>
      <c r="P13" s="277">
        <v>45828</v>
      </c>
      <c r="Q13" s="158"/>
      <c r="R13" s="272"/>
      <c r="S13" s="381" t="s">
        <v>418</v>
      </c>
      <c r="T13" s="379" t="s">
        <v>247</v>
      </c>
      <c r="U13" s="380"/>
      <c r="V13" s="380"/>
    </row>
    <row r="14" s="45" customFormat="1" ht="26.25" customHeight="1" spans="1:22">
      <c r="A14" s="40" t="s">
        <v>178</v>
      </c>
      <c r="B14" s="53" t="s">
        <v>247</v>
      </c>
      <c r="C14" s="52" t="s">
        <v>412</v>
      </c>
      <c r="D14" s="265" t="s">
        <v>413</v>
      </c>
      <c r="E14" s="40"/>
      <c r="F14" s="40"/>
      <c r="G14" s="53" t="s">
        <v>414</v>
      </c>
      <c r="H14" s="265" t="s">
        <v>415</v>
      </c>
      <c r="I14" s="158" t="s">
        <v>269</v>
      </c>
      <c r="J14" s="265" t="s">
        <v>416</v>
      </c>
      <c r="K14" s="276" t="s">
        <v>417</v>
      </c>
      <c r="L14" s="61">
        <v>45793</v>
      </c>
      <c r="M14" s="157">
        <v>1</v>
      </c>
      <c r="N14" s="62"/>
      <c r="O14" s="63">
        <f t="shared" si="0"/>
        <v>1</v>
      </c>
      <c r="P14" s="277">
        <v>45828</v>
      </c>
      <c r="Q14" s="158"/>
      <c r="R14" s="272"/>
      <c r="S14" s="381" t="s">
        <v>418</v>
      </c>
      <c r="T14" s="379" t="s">
        <v>247</v>
      </c>
      <c r="U14" s="380"/>
      <c r="V14" s="380"/>
    </row>
    <row r="15" s="40" customFormat="1" ht="26.25" customHeight="1" spans="1:22">
      <c r="A15" s="265" t="s">
        <v>419</v>
      </c>
      <c r="B15" s="53" t="s">
        <v>247</v>
      </c>
      <c r="C15" s="52" t="s">
        <v>420</v>
      </c>
      <c r="D15" s="265" t="s">
        <v>421</v>
      </c>
      <c r="E15" s="40"/>
      <c r="F15" s="40"/>
      <c r="G15" s="53" t="s">
        <v>247</v>
      </c>
      <c r="H15" s="265" t="s">
        <v>422</v>
      </c>
      <c r="I15" s="158" t="s">
        <v>321</v>
      </c>
      <c r="J15" s="265" t="s">
        <v>423</v>
      </c>
      <c r="K15" s="276" t="s">
        <v>424</v>
      </c>
      <c r="L15" s="61">
        <v>45796</v>
      </c>
      <c r="M15" s="157">
        <v>204</v>
      </c>
      <c r="N15" s="62"/>
      <c r="O15" s="63">
        <f t="shared" si="0"/>
        <v>204</v>
      </c>
      <c r="P15" s="277">
        <v>45829</v>
      </c>
      <c r="Q15" s="158" t="s">
        <v>425</v>
      </c>
      <c r="R15" s="272"/>
      <c r="S15" s="383" t="s">
        <v>426</v>
      </c>
      <c r="T15" s="379" t="s">
        <v>247</v>
      </c>
      <c r="U15" s="380"/>
      <c r="V15" s="380"/>
    </row>
    <row r="16" s="40" customFormat="1" ht="26.25" customHeight="1" spans="1:22">
      <c r="A16" s="103" t="s">
        <v>419</v>
      </c>
      <c r="B16" s="53" t="s">
        <v>247</v>
      </c>
      <c r="C16" s="52" t="s">
        <v>420</v>
      </c>
      <c r="D16" s="265" t="s">
        <v>427</v>
      </c>
      <c r="E16" s="40"/>
      <c r="F16" s="40"/>
      <c r="G16" s="53" t="s">
        <v>247</v>
      </c>
      <c r="H16" s="265" t="s">
        <v>428</v>
      </c>
      <c r="I16" s="158" t="s">
        <v>321</v>
      </c>
      <c r="J16" s="265" t="s">
        <v>423</v>
      </c>
      <c r="K16" s="276" t="s">
        <v>424</v>
      </c>
      <c r="L16" s="61">
        <v>45796</v>
      </c>
      <c r="M16" s="157">
        <v>164</v>
      </c>
      <c r="N16" s="62"/>
      <c r="O16" s="63">
        <f t="shared" si="0"/>
        <v>164</v>
      </c>
      <c r="P16" s="277">
        <v>45829</v>
      </c>
      <c r="Q16" s="158" t="s">
        <v>425</v>
      </c>
      <c r="R16" s="272"/>
      <c r="S16" s="383" t="s">
        <v>426</v>
      </c>
      <c r="T16" s="379" t="s">
        <v>247</v>
      </c>
      <c r="U16" s="380"/>
      <c r="V16" s="380"/>
    </row>
    <row r="17" ht="26.25" customHeight="1" spans="1:22">
      <c r="A17" s="40" t="s">
        <v>27</v>
      </c>
      <c r="B17" s="53" t="s">
        <v>247</v>
      </c>
      <c r="C17" s="52" t="s">
        <v>429</v>
      </c>
      <c r="D17" s="265" t="s">
        <v>430</v>
      </c>
      <c r="E17" s="40"/>
      <c r="F17" s="40"/>
      <c r="G17" s="53" t="s">
        <v>414</v>
      </c>
      <c r="H17" s="265" t="s">
        <v>431</v>
      </c>
      <c r="I17" s="158" t="s">
        <v>269</v>
      </c>
      <c r="J17" s="265" t="s">
        <v>432</v>
      </c>
      <c r="K17" s="276" t="s">
        <v>433</v>
      </c>
      <c r="L17" s="61">
        <v>45790</v>
      </c>
      <c r="M17" s="157">
        <v>100</v>
      </c>
      <c r="N17" s="62"/>
      <c r="O17" s="63">
        <f t="shared" si="0"/>
        <v>100</v>
      </c>
      <c r="P17" s="277">
        <v>45838</v>
      </c>
      <c r="Q17" s="158"/>
      <c r="R17" s="272"/>
      <c r="S17" s="381" t="s">
        <v>418</v>
      </c>
      <c r="T17" s="379" t="s">
        <v>247</v>
      </c>
      <c r="U17" s="380"/>
      <c r="V17" s="380"/>
    </row>
    <row r="18" s="40" customFormat="1" ht="26.25" customHeight="1" spans="1:22">
      <c r="A18" s="40" t="s">
        <v>27</v>
      </c>
      <c r="B18" s="53" t="s">
        <v>247</v>
      </c>
      <c r="C18" s="52" t="s">
        <v>429</v>
      </c>
      <c r="D18" s="265" t="s">
        <v>434</v>
      </c>
      <c r="E18" s="40"/>
      <c r="F18" s="40"/>
      <c r="G18" s="53" t="s">
        <v>414</v>
      </c>
      <c r="H18" s="265" t="s">
        <v>435</v>
      </c>
      <c r="I18" s="158" t="s">
        <v>269</v>
      </c>
      <c r="J18" s="265" t="s">
        <v>432</v>
      </c>
      <c r="K18" s="276" t="s">
        <v>433</v>
      </c>
      <c r="L18" s="61">
        <v>45790</v>
      </c>
      <c r="M18" s="157">
        <v>134</v>
      </c>
      <c r="N18" s="62"/>
      <c r="O18" s="63">
        <f t="shared" si="0"/>
        <v>134</v>
      </c>
      <c r="P18" s="277">
        <v>45838</v>
      </c>
      <c r="Q18" s="158"/>
      <c r="R18" s="272"/>
      <c r="S18" s="381" t="s">
        <v>418</v>
      </c>
      <c r="T18" s="379" t="s">
        <v>247</v>
      </c>
      <c r="U18" s="380"/>
      <c r="V18" s="380"/>
    </row>
    <row r="19" s="40" customFormat="1" ht="26.25" customHeight="1" spans="1:22">
      <c r="A19" s="40" t="s">
        <v>27</v>
      </c>
      <c r="B19" s="53" t="s">
        <v>247</v>
      </c>
      <c r="C19" s="52" t="s">
        <v>429</v>
      </c>
      <c r="D19" s="265" t="s">
        <v>430</v>
      </c>
      <c r="E19" s="40"/>
      <c r="F19" s="40"/>
      <c r="G19" s="53" t="s">
        <v>414</v>
      </c>
      <c r="H19" s="265" t="s">
        <v>431</v>
      </c>
      <c r="I19" s="158" t="s">
        <v>269</v>
      </c>
      <c r="J19" s="265" t="s">
        <v>436</v>
      </c>
      <c r="K19" s="276" t="s">
        <v>433</v>
      </c>
      <c r="L19" s="61">
        <v>45790</v>
      </c>
      <c r="M19" s="157">
        <v>241</v>
      </c>
      <c r="N19" s="62"/>
      <c r="O19" s="63">
        <f t="shared" si="0"/>
        <v>241</v>
      </c>
      <c r="P19" s="277">
        <v>45838</v>
      </c>
      <c r="Q19" s="158"/>
      <c r="R19" s="272"/>
      <c r="S19" s="381" t="s">
        <v>418</v>
      </c>
      <c r="T19" s="379" t="s">
        <v>247</v>
      </c>
      <c r="U19" s="380"/>
      <c r="V19" s="380"/>
    </row>
    <row r="20" s="90" customFormat="1" ht="26.25" customHeight="1" spans="1:22">
      <c r="A20" s="40" t="s">
        <v>27</v>
      </c>
      <c r="B20" s="53" t="s">
        <v>247</v>
      </c>
      <c r="C20" s="52" t="s">
        <v>429</v>
      </c>
      <c r="D20" s="265" t="s">
        <v>434</v>
      </c>
      <c r="E20" s="40"/>
      <c r="F20" s="40"/>
      <c r="G20" s="53" t="s">
        <v>414</v>
      </c>
      <c r="H20" s="265" t="s">
        <v>435</v>
      </c>
      <c r="I20" s="158" t="s">
        <v>269</v>
      </c>
      <c r="J20" s="265" t="s">
        <v>436</v>
      </c>
      <c r="K20" s="276" t="s">
        <v>433</v>
      </c>
      <c r="L20" s="61">
        <v>45790</v>
      </c>
      <c r="M20" s="157">
        <v>240</v>
      </c>
      <c r="N20" s="62"/>
      <c r="O20" s="63">
        <f t="shared" si="0"/>
        <v>240</v>
      </c>
      <c r="P20" s="277">
        <v>45838</v>
      </c>
      <c r="Q20" s="158"/>
      <c r="R20" s="272"/>
      <c r="S20" s="381" t="s">
        <v>418</v>
      </c>
      <c r="T20" s="379" t="s">
        <v>247</v>
      </c>
      <c r="U20" s="380"/>
      <c r="V20" s="380"/>
    </row>
    <row r="21" s="90" customFormat="1" ht="26.25" customHeight="1" spans="1:22">
      <c r="A21" s="40" t="s">
        <v>27</v>
      </c>
      <c r="B21" s="53" t="s">
        <v>247</v>
      </c>
      <c r="C21" s="52" t="s">
        <v>429</v>
      </c>
      <c r="D21" s="265" t="s">
        <v>437</v>
      </c>
      <c r="E21" s="40"/>
      <c r="F21" s="40"/>
      <c r="G21" s="53" t="s">
        <v>414</v>
      </c>
      <c r="H21" s="265" t="s">
        <v>388</v>
      </c>
      <c r="I21" s="158" t="s">
        <v>269</v>
      </c>
      <c r="J21" s="265" t="s">
        <v>438</v>
      </c>
      <c r="K21" s="276" t="s">
        <v>433</v>
      </c>
      <c r="L21" s="61">
        <v>45790</v>
      </c>
      <c r="M21" s="157">
        <v>100</v>
      </c>
      <c r="N21" s="62"/>
      <c r="O21" s="63">
        <f t="shared" si="0"/>
        <v>100</v>
      </c>
      <c r="P21" s="277">
        <v>45838</v>
      </c>
      <c r="Q21" s="158"/>
      <c r="R21" s="272"/>
      <c r="S21" s="381" t="s">
        <v>439</v>
      </c>
      <c r="T21" s="379" t="s">
        <v>247</v>
      </c>
      <c r="U21" s="380"/>
      <c r="V21" s="380"/>
    </row>
    <row r="22" s="90" customFormat="1" ht="26.25" customHeight="1" spans="1:22">
      <c r="A22" s="40" t="s">
        <v>27</v>
      </c>
      <c r="B22" s="53" t="s">
        <v>247</v>
      </c>
      <c r="C22" s="52" t="s">
        <v>440</v>
      </c>
      <c r="D22" s="40" t="s">
        <v>437</v>
      </c>
      <c r="E22" s="40"/>
      <c r="F22" s="40"/>
      <c r="G22" s="53" t="s">
        <v>414</v>
      </c>
      <c r="H22" s="103" t="s">
        <v>388</v>
      </c>
      <c r="I22" s="158" t="s">
        <v>269</v>
      </c>
      <c r="J22" s="226" t="s">
        <v>441</v>
      </c>
      <c r="K22" s="227" t="s">
        <v>442</v>
      </c>
      <c r="L22" s="61">
        <v>45793</v>
      </c>
      <c r="M22" s="52">
        <v>200</v>
      </c>
      <c r="N22" s="62"/>
      <c r="O22" s="63">
        <f t="shared" si="0"/>
        <v>200</v>
      </c>
      <c r="P22" s="61">
        <v>45838</v>
      </c>
      <c r="Q22" s="158"/>
      <c r="R22" s="272"/>
      <c r="S22" s="381" t="s">
        <v>439</v>
      </c>
      <c r="T22" s="379" t="s">
        <v>247</v>
      </c>
      <c r="U22" s="380"/>
      <c r="V22" s="380"/>
    </row>
    <row r="23" s="40" customFormat="1" ht="26.25" customHeight="1" spans="1:22">
      <c r="A23" s="40" t="s">
        <v>27</v>
      </c>
      <c r="B23" s="53" t="s">
        <v>247</v>
      </c>
      <c r="C23" s="52"/>
      <c r="D23" s="40" t="s">
        <v>392</v>
      </c>
      <c r="E23" s="40"/>
      <c r="F23" s="40"/>
      <c r="G23" s="53" t="s">
        <v>283</v>
      </c>
      <c r="H23" s="103" t="s">
        <v>47</v>
      </c>
      <c r="I23" s="158" t="s">
        <v>284</v>
      </c>
      <c r="J23" s="226" t="s">
        <v>443</v>
      </c>
      <c r="K23" s="227" t="s">
        <v>444</v>
      </c>
      <c r="L23" s="61">
        <v>45811</v>
      </c>
      <c r="M23" s="52">
        <v>12</v>
      </c>
      <c r="N23" s="62"/>
      <c r="O23" s="63">
        <v>12</v>
      </c>
      <c r="P23" s="61">
        <v>45839</v>
      </c>
      <c r="Q23" s="158"/>
      <c r="R23" s="272"/>
      <c r="S23" s="381" t="s">
        <v>445</v>
      </c>
      <c r="T23" s="379" t="s">
        <v>247</v>
      </c>
      <c r="U23" s="380"/>
      <c r="V23" s="380"/>
    </row>
    <row r="24" s="40" customFormat="1" ht="26.25" customHeight="1" spans="1:22">
      <c r="A24" s="40" t="s">
        <v>27</v>
      </c>
      <c r="B24" s="53" t="s">
        <v>247</v>
      </c>
      <c r="C24" s="52"/>
      <c r="D24" s="40" t="s">
        <v>437</v>
      </c>
      <c r="E24" s="40"/>
      <c r="F24" s="40"/>
      <c r="G24" s="53" t="s">
        <v>283</v>
      </c>
      <c r="H24" s="103" t="s">
        <v>388</v>
      </c>
      <c r="I24" s="158"/>
      <c r="J24" s="226" t="s">
        <v>443</v>
      </c>
      <c r="K24" s="227" t="s">
        <v>444</v>
      </c>
      <c r="L24" s="61">
        <v>45811</v>
      </c>
      <c r="M24" s="52">
        <v>10</v>
      </c>
      <c r="N24" s="62"/>
      <c r="O24" s="63">
        <v>10</v>
      </c>
      <c r="P24" s="61">
        <v>45839</v>
      </c>
      <c r="Q24" s="158"/>
      <c r="R24" s="272"/>
      <c r="S24" s="381" t="s">
        <v>439</v>
      </c>
      <c r="T24" s="379" t="s">
        <v>247</v>
      </c>
      <c r="U24" s="380"/>
      <c r="V24" s="380"/>
    </row>
    <row r="25" s="40" customFormat="1" ht="26.25" customHeight="1" spans="1:22">
      <c r="A25" s="40" t="s">
        <v>27</v>
      </c>
      <c r="B25" s="53" t="s">
        <v>247</v>
      </c>
      <c r="C25" s="52"/>
      <c r="D25" s="40" t="s">
        <v>446</v>
      </c>
      <c r="E25" s="40"/>
      <c r="F25" s="40"/>
      <c r="G25" s="53" t="s">
        <v>283</v>
      </c>
      <c r="H25" s="103" t="s">
        <v>32</v>
      </c>
      <c r="I25" s="158"/>
      <c r="J25" s="226" t="s">
        <v>443</v>
      </c>
      <c r="K25" s="227" t="s">
        <v>444</v>
      </c>
      <c r="L25" s="61">
        <v>45811</v>
      </c>
      <c r="M25" s="52">
        <v>20</v>
      </c>
      <c r="N25" s="62"/>
      <c r="O25" s="63">
        <v>20</v>
      </c>
      <c r="P25" s="61">
        <v>45839</v>
      </c>
      <c r="Q25" s="158"/>
      <c r="R25" s="272"/>
      <c r="S25" s="381" t="s">
        <v>445</v>
      </c>
      <c r="T25" s="379" t="s">
        <v>247</v>
      </c>
      <c r="U25" s="380"/>
      <c r="V25" s="380"/>
    </row>
    <row r="26" s="40" customFormat="1" ht="26.25" customHeight="1" spans="1:22">
      <c r="A26" s="40" t="s">
        <v>27</v>
      </c>
      <c r="B26" s="53" t="s">
        <v>247</v>
      </c>
      <c r="C26" s="52" t="s">
        <v>447</v>
      </c>
      <c r="D26" s="265" t="s">
        <v>437</v>
      </c>
      <c r="E26" s="40"/>
      <c r="F26" s="40"/>
      <c r="G26" s="53" t="s">
        <v>283</v>
      </c>
      <c r="H26" s="103" t="s">
        <v>388</v>
      </c>
      <c r="I26" s="158" t="s">
        <v>269</v>
      </c>
      <c r="J26" s="226" t="s">
        <v>448</v>
      </c>
      <c r="K26" s="227" t="s">
        <v>449</v>
      </c>
      <c r="L26" s="61">
        <v>45775</v>
      </c>
      <c r="M26" s="52">
        <v>1190</v>
      </c>
      <c r="N26" s="62"/>
      <c r="O26" s="63">
        <f>M26-N26</f>
        <v>1190</v>
      </c>
      <c r="P26" s="61">
        <v>45839</v>
      </c>
      <c r="Q26" s="158"/>
      <c r="R26" s="272"/>
      <c r="S26" s="381" t="s">
        <v>439</v>
      </c>
      <c r="T26" s="379" t="s">
        <v>247</v>
      </c>
      <c r="U26" s="380"/>
      <c r="V26" s="380"/>
    </row>
    <row r="27" s="90" customFormat="1" ht="26.25" customHeight="1" spans="1:22">
      <c r="A27" s="115" t="s">
        <v>399</v>
      </c>
      <c r="B27" s="53" t="s">
        <v>247</v>
      </c>
      <c r="C27" s="52" t="s">
        <v>450</v>
      </c>
      <c r="D27" s="265" t="s">
        <v>451</v>
      </c>
      <c r="E27" s="40"/>
      <c r="F27" s="40"/>
      <c r="G27" s="53" t="s">
        <v>283</v>
      </c>
      <c r="H27" s="266" t="s">
        <v>402</v>
      </c>
      <c r="I27" s="158" t="s">
        <v>269</v>
      </c>
      <c r="J27" s="265" t="s">
        <v>452</v>
      </c>
      <c r="K27" s="266" t="s">
        <v>453</v>
      </c>
      <c r="L27" s="61">
        <v>45806</v>
      </c>
      <c r="M27" s="137">
        <v>50</v>
      </c>
      <c r="N27" s="62"/>
      <c r="O27" s="63">
        <v>50</v>
      </c>
      <c r="P27" s="61">
        <v>45841</v>
      </c>
      <c r="Q27" s="384"/>
      <c r="R27" s="272"/>
      <c r="S27" s="381" t="s">
        <v>454</v>
      </c>
      <c r="T27" s="379" t="s">
        <v>247</v>
      </c>
      <c r="U27" s="380"/>
      <c r="V27" s="380"/>
    </row>
    <row r="28" s="40" customFormat="1" ht="26.25" customHeight="1" spans="1:22">
      <c r="A28" s="40" t="s">
        <v>27</v>
      </c>
      <c r="B28" s="53" t="s">
        <v>247</v>
      </c>
      <c r="C28" s="52" t="s">
        <v>429</v>
      </c>
      <c r="D28" s="265" t="s">
        <v>455</v>
      </c>
      <c r="E28" s="40"/>
      <c r="F28" s="40"/>
      <c r="G28" s="53" t="s">
        <v>414</v>
      </c>
      <c r="H28" s="265" t="s">
        <v>456</v>
      </c>
      <c r="I28" s="158" t="s">
        <v>269</v>
      </c>
      <c r="J28" s="265" t="s">
        <v>457</v>
      </c>
      <c r="K28" s="276" t="s">
        <v>433</v>
      </c>
      <c r="L28" s="61">
        <v>45790</v>
      </c>
      <c r="M28" s="157">
        <v>365</v>
      </c>
      <c r="N28" s="62"/>
      <c r="O28" s="63">
        <f>M28-N28</f>
        <v>365</v>
      </c>
      <c r="P28" s="277">
        <v>45841</v>
      </c>
      <c r="Q28" s="158"/>
      <c r="R28" s="272"/>
      <c r="S28" s="381" t="s">
        <v>454</v>
      </c>
      <c r="T28" s="379" t="s">
        <v>247</v>
      </c>
      <c r="U28" s="380"/>
      <c r="V28" s="380"/>
    </row>
    <row r="29" s="40" customFormat="1" ht="26.25" customHeight="1" spans="1:22">
      <c r="A29" s="40" t="s">
        <v>163</v>
      </c>
      <c r="B29" s="53" t="s">
        <v>247</v>
      </c>
      <c r="C29" s="52" t="s">
        <v>458</v>
      </c>
      <c r="D29" s="103" t="s">
        <v>459</v>
      </c>
      <c r="E29" s="40"/>
      <c r="F29" s="40"/>
      <c r="G29" s="53" t="s">
        <v>414</v>
      </c>
      <c r="H29" s="103" t="s">
        <v>460</v>
      </c>
      <c r="I29" s="158"/>
      <c r="J29" s="385" t="s">
        <v>461</v>
      </c>
      <c r="K29" s="227" t="s">
        <v>462</v>
      </c>
      <c r="L29" s="61">
        <v>45806</v>
      </c>
      <c r="M29" s="52">
        <v>50</v>
      </c>
      <c r="N29" s="62"/>
      <c r="O29" s="63">
        <v>50</v>
      </c>
      <c r="P29" s="61">
        <v>45842</v>
      </c>
      <c r="Q29" s="158"/>
      <c r="R29" s="272"/>
      <c r="S29" s="381" t="s">
        <v>454</v>
      </c>
      <c r="T29" s="379" t="s">
        <v>247</v>
      </c>
      <c r="U29" s="380"/>
      <c r="V29" s="380"/>
    </row>
    <row r="30" s="40" customFormat="1" ht="26.25" customHeight="1" spans="1:22">
      <c r="A30" s="40" t="s">
        <v>27</v>
      </c>
      <c r="B30" s="53" t="s">
        <v>247</v>
      </c>
      <c r="C30" s="52" t="s">
        <v>463</v>
      </c>
      <c r="D30" s="103" t="s">
        <v>464</v>
      </c>
      <c r="E30" s="103"/>
      <c r="F30" s="103"/>
      <c r="G30" s="53" t="s">
        <v>283</v>
      </c>
      <c r="H30" s="103" t="s">
        <v>465</v>
      </c>
      <c r="I30" s="158" t="s">
        <v>284</v>
      </c>
      <c r="J30" s="94" t="s">
        <v>466</v>
      </c>
      <c r="K30" s="94" t="s">
        <v>467</v>
      </c>
      <c r="L30" s="61">
        <v>45789</v>
      </c>
      <c r="M30" s="52">
        <v>119</v>
      </c>
      <c r="N30" s="62"/>
      <c r="O30" s="63">
        <f>M30-N30</f>
        <v>119</v>
      </c>
      <c r="P30" s="61">
        <v>45849</v>
      </c>
      <c r="Q30" s="158"/>
      <c r="R30" s="274"/>
      <c r="S30" s="381" t="s">
        <v>454</v>
      </c>
      <c r="T30" s="379" t="s">
        <v>247</v>
      </c>
      <c r="U30" s="380"/>
      <c r="V30" s="380"/>
    </row>
    <row r="31" s="40" customFormat="1" ht="26.25" customHeight="1" spans="1:22">
      <c r="A31" s="40" t="s">
        <v>27</v>
      </c>
      <c r="B31" s="53" t="s">
        <v>247</v>
      </c>
      <c r="C31" s="52" t="s">
        <v>463</v>
      </c>
      <c r="D31" s="103" t="s">
        <v>468</v>
      </c>
      <c r="E31" s="103"/>
      <c r="F31" s="103"/>
      <c r="G31" s="53" t="s">
        <v>247</v>
      </c>
      <c r="H31" s="103" t="s">
        <v>469</v>
      </c>
      <c r="I31" s="158" t="s">
        <v>269</v>
      </c>
      <c r="J31" s="94" t="s">
        <v>466</v>
      </c>
      <c r="K31" s="94" t="s">
        <v>467</v>
      </c>
      <c r="L31" s="61">
        <v>45789</v>
      </c>
      <c r="M31" s="52">
        <v>140</v>
      </c>
      <c r="N31" s="62"/>
      <c r="O31" s="63">
        <f>M31-N31</f>
        <v>140</v>
      </c>
      <c r="P31" s="61">
        <v>45849</v>
      </c>
      <c r="Q31" s="158" t="s">
        <v>425</v>
      </c>
      <c r="R31" s="274"/>
      <c r="S31" s="381" t="s">
        <v>454</v>
      </c>
      <c r="T31" s="379" t="s">
        <v>247</v>
      </c>
      <c r="U31" s="380"/>
      <c r="V31" s="380"/>
    </row>
    <row r="32" s="40" customFormat="1" ht="26.25" customHeight="1" spans="1:22">
      <c r="A32" s="40" t="s">
        <v>27</v>
      </c>
      <c r="B32" s="53" t="s">
        <v>247</v>
      </c>
      <c r="C32" s="52" t="s">
        <v>470</v>
      </c>
      <c r="D32" s="103" t="s">
        <v>471</v>
      </c>
      <c r="E32" s="103"/>
      <c r="F32" s="103"/>
      <c r="G32" s="53" t="s">
        <v>283</v>
      </c>
      <c r="H32" s="103" t="s">
        <v>472</v>
      </c>
      <c r="I32" s="158" t="s">
        <v>269</v>
      </c>
      <c r="J32" s="94" t="s">
        <v>473</v>
      </c>
      <c r="K32" s="94" t="s">
        <v>474</v>
      </c>
      <c r="L32" s="61">
        <v>45719</v>
      </c>
      <c r="M32" s="52">
        <v>226</v>
      </c>
      <c r="N32" s="62"/>
      <c r="O32" s="63">
        <f>M32-N32</f>
        <v>226</v>
      </c>
      <c r="P32" s="61">
        <v>45852</v>
      </c>
      <c r="Q32" s="158" t="s">
        <v>296</v>
      </c>
      <c r="R32" s="274" t="s">
        <v>475</v>
      </c>
      <c r="S32" s="381" t="s">
        <v>454</v>
      </c>
      <c r="T32" s="379" t="s">
        <v>247</v>
      </c>
      <c r="U32" s="380"/>
      <c r="V32" s="380"/>
    </row>
    <row r="33" ht="26.25" customHeight="1" spans="1:22">
      <c r="A33" s="40" t="s">
        <v>27</v>
      </c>
      <c r="B33" s="53" t="s">
        <v>247</v>
      </c>
      <c r="C33" s="52" t="s">
        <v>476</v>
      </c>
      <c r="D33" s="40" t="s">
        <v>392</v>
      </c>
      <c r="E33" s="40"/>
      <c r="F33" s="40"/>
      <c r="G33" s="53" t="s">
        <v>247</v>
      </c>
      <c r="H33" s="103" t="s">
        <v>47</v>
      </c>
      <c r="I33" s="158" t="s">
        <v>284</v>
      </c>
      <c r="J33" s="226" t="s">
        <v>477</v>
      </c>
      <c r="K33" s="227" t="s">
        <v>478</v>
      </c>
      <c r="L33" s="61">
        <v>45666</v>
      </c>
      <c r="M33" s="137">
        <v>150</v>
      </c>
      <c r="N33" s="62"/>
      <c r="O33" s="63">
        <f>M33-N33</f>
        <v>150</v>
      </c>
      <c r="P33" s="277"/>
      <c r="Q33" s="158" t="s">
        <v>296</v>
      </c>
      <c r="R33" s="272" t="s">
        <v>479</v>
      </c>
      <c r="S33" s="381"/>
      <c r="T33" s="379" t="s">
        <v>247</v>
      </c>
      <c r="U33" s="380"/>
      <c r="V33" s="380"/>
    </row>
    <row r="34" ht="26.25" customHeight="1" spans="1:22">
      <c r="A34" s="40" t="s">
        <v>27</v>
      </c>
      <c r="B34" s="53" t="s">
        <v>247</v>
      </c>
      <c r="C34" s="52" t="s">
        <v>480</v>
      </c>
      <c r="D34" s="40" t="s">
        <v>387</v>
      </c>
      <c r="E34" s="40"/>
      <c r="F34" s="40"/>
      <c r="G34" s="53" t="s">
        <v>283</v>
      </c>
      <c r="H34" s="103" t="s">
        <v>388</v>
      </c>
      <c r="I34" s="158" t="s">
        <v>269</v>
      </c>
      <c r="J34" s="226" t="s">
        <v>477</v>
      </c>
      <c r="K34" s="227" t="s">
        <v>478</v>
      </c>
      <c r="L34" s="61">
        <v>45666</v>
      </c>
      <c r="M34" s="137">
        <v>238</v>
      </c>
      <c r="N34" s="62"/>
      <c r="O34" s="63">
        <f>M34-N34</f>
        <v>238</v>
      </c>
      <c r="P34" s="277"/>
      <c r="Q34" s="158" t="s">
        <v>296</v>
      </c>
      <c r="R34" s="272" t="s">
        <v>479</v>
      </c>
      <c r="S34" s="378"/>
      <c r="T34" s="379" t="s">
        <v>247</v>
      </c>
      <c r="U34" s="380"/>
      <c r="V34" s="380"/>
    </row>
    <row r="35" ht="26.25" customHeight="1" spans="1:22">
      <c r="E35" s="11"/>
      <c r="F35" s="11"/>
      <c r="I35" s="179"/>
      <c r="P35" s="4"/>
      <c r="Q35" s="179"/>
      <c r="R35" s="386"/>
      <c r="T35" s="387"/>
      <c r="U35" s="387"/>
      <c r="V35" s="387"/>
    </row>
  </sheetData>
  <mergeCells count="23">
    <mergeCell ref="P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conditionalFormatting sqref="D1:D3">
    <cfRule type="containsText" dxfId="2" priority="3" operator="between" text="研发费用单">
      <formula>NOT(ISERROR(SEARCH("研发费用单",D1)))</formula>
    </cfRule>
  </conditionalFormatting>
  <conditionalFormatting sqref="O1:O35">
    <cfRule type="cellIs" dxfId="1" priority="1" operator="equal">
      <formula>0</formula>
    </cfRule>
  </conditionalFormatting>
  <conditionalFormatting sqref="C1:C34 B2:B3 D5">
    <cfRule type="containsText" dxfId="0" priority="2" operator="between" text="SO">
      <formula>NOT(ISERROR(SEARCH("SO",B1)))</formula>
    </cfRule>
  </conditionalFormatting>
  <conditionalFormatting sqref="B2:B34 G4:G32">
    <cfRule type="containsText" dxfId="5" priority="6" operator="between" text="√">
      <formula>NOT(ISERROR(SEARCH("√",B2)))</formula>
    </cfRule>
  </conditionalFormatting>
  <conditionalFormatting sqref="K2:L3 R2:R3">
    <cfRule type="containsText" dxfId="6" priority="5" operator="between" text="系统">
      <formula>NOT(ISERROR(SEARCH("系统",K2)))</formula>
    </cfRule>
  </conditionalFormatting>
  <conditionalFormatting sqref="B4:B8 G4:G32 B15 B17:B32">
    <cfRule type="notContainsBlanks" dxfId="0" priority="4">
      <formula>LEN(TRIM(B4))&gt;0</formula>
    </cfRule>
  </conditionalFormatting>
  <conditionalFormatting sqref="C4:C34 D5">
    <cfRule type="containsText" dxfId="0" priority="7" operator="between" text="√">
      <formula>NOT(ISERROR(SEARCH("√",C4)))</formula>
    </cfRule>
  </conditionalFormatting>
  <dataValidations count="3">
    <dataValidation type="list" allowBlank="1" showInputMessage="1" showErrorMessage="1" sqref="I3:I200">
      <formula1>"DTK3,K30,DTK5,K50,K31,K70,/,K10,K70W,定制,"</formula1>
    </dataValidation>
    <dataValidation type="list" allowBlank="1" showInputMessage="1" showErrorMessage="1" sqref="Q3:Q200">
      <formula1>"研发-TBD,客户-TBD,已确认释放,"</formula1>
    </dataValidation>
    <dataValidation type="list" allowBlank="1" showInputMessage="1" showErrorMessage="1" sqref="T3:T200">
      <formula1>"×,√,"</formula1>
    </dataValidation>
  </dataValidation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月订单交付明细（4.22锁单版）"/>
  <dimension ref="A1:Z118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3.7115384615385" defaultRowHeight="18" customHeight="1"/>
  <cols>
    <col min="1" max="1" width="20.5673076923077" style="11" customWidth="1"/>
    <col min="2" max="2" width="10.7115384615385" style="2" customWidth="1" outlineLevel="1"/>
    <col min="3" max="3" width="17" style="1" customWidth="1" outlineLevel="1"/>
    <col min="4" max="4" width="18.5673076923077" style="3" collapsed="1"/>
    <col min="5" max="5" width="18.8557692307692" style="3" hidden="1" outlineLevel="1"/>
    <col min="6" max="6" width="21.1442307692308" style="3" hidden="1" outlineLevel="1"/>
    <col min="7" max="7" width="17.8557692307692" style="2" outlineLevel="1" collapsed="1"/>
    <col min="8" max="8" width="25.2884615384615" style="11" customWidth="1" collapsed="1"/>
    <col min="9" max="9" width="9.56730769230769" style="1" customWidth="1"/>
    <col min="10" max="10" width="28.8557692307692" style="3" customWidth="1"/>
    <col min="11" max="11" width="23.2884615384615" style="201" customWidth="1"/>
    <col min="12" max="12" width="13" style="4" customWidth="1"/>
    <col min="13" max="13" width="8.85576923076923" style="1" customWidth="1"/>
    <col min="14" max="14" width="8.56730769230769" style="5" customWidth="1"/>
    <col min="15" max="15" width="9.14423076923077" style="6" customWidth="1"/>
    <col min="16" max="16" width="15.8557692307692" style="7" customWidth="1"/>
    <col min="17" max="17" width="44.1442307692308" style="9" customWidth="1"/>
    <col min="18" max="18" width="10.2884615384615" style="1" customWidth="1"/>
    <col min="19" max="19" width="11.2884615384615" style="4" customWidth="1"/>
    <col min="20" max="20" width="30.4230769230769" style="9" customWidth="1"/>
    <col min="21" max="21" width="28.4230769230769" style="9" customWidth="1" outlineLevel="1"/>
    <col min="22" max="22" width="14.8557692307692" style="7" customWidth="1" outlineLevel="1"/>
    <col min="23" max="23" width="13" style="7" customWidth="1" outlineLevel="1"/>
    <col min="24" max="24" width="45.5673076923077" style="3" customWidth="1"/>
    <col min="25" max="25" width="18.4230769230769" style="3" customWidth="1"/>
    <col min="26" max="26" width="14" style="10" customWidth="1"/>
  </cols>
  <sheetData>
    <row r="1" ht="76.5" customHeight="1" spans="1:26">
      <c r="A1" s="202">
        <f ca="1">TODAY()</f>
        <v>45969</v>
      </c>
      <c r="B1" s="203" t="s">
        <v>214</v>
      </c>
      <c r="C1" s="204"/>
      <c r="D1" s="14"/>
      <c r="E1" s="203" t="s">
        <v>214</v>
      </c>
      <c r="F1" s="13" t="s">
        <v>214</v>
      </c>
      <c r="G1" s="13" t="s">
        <v>214</v>
      </c>
      <c r="H1" s="15"/>
      <c r="I1" s="15"/>
      <c r="J1" s="205"/>
      <c r="K1" s="206"/>
      <c r="L1" s="16"/>
      <c r="M1" s="15"/>
      <c r="N1" s="17"/>
      <c r="O1" s="17"/>
      <c r="P1" s="20" t="s">
        <v>481</v>
      </c>
      <c r="Q1" s="44"/>
      <c r="R1" s="15"/>
      <c r="S1" s="16"/>
      <c r="T1" s="207" t="s">
        <v>216</v>
      </c>
      <c r="U1" s="208"/>
      <c r="V1" s="209"/>
      <c r="W1" s="209"/>
      <c r="X1" s="14"/>
      <c r="Y1" s="14"/>
      <c r="Z1" s="22"/>
    </row>
    <row r="2" ht="22.5" customHeight="1" spans="1:26">
      <c r="A2" s="26" t="s">
        <v>218</v>
      </c>
      <c r="B2" s="27" t="s">
        <v>219</v>
      </c>
      <c r="C2" s="28" t="s">
        <v>482</v>
      </c>
      <c r="D2" s="27" t="s">
        <v>221</v>
      </c>
      <c r="E2" s="29" t="s">
        <v>222</v>
      </c>
      <c r="F2" s="29" t="s">
        <v>223</v>
      </c>
      <c r="G2" s="30" t="s">
        <v>224</v>
      </c>
      <c r="H2" s="210" t="s">
        <v>225</v>
      </c>
      <c r="I2" s="211" t="s">
        <v>226</v>
      </c>
      <c r="J2" s="212" t="s">
        <v>227</v>
      </c>
      <c r="K2" s="27" t="s">
        <v>228</v>
      </c>
      <c r="L2" s="27" t="s">
        <v>229</v>
      </c>
      <c r="M2" s="27" t="s">
        <v>230</v>
      </c>
      <c r="N2" s="32" t="s">
        <v>231</v>
      </c>
      <c r="O2" s="213" t="s">
        <v>232</v>
      </c>
      <c r="P2" s="214" t="s">
        <v>483</v>
      </c>
      <c r="Q2" s="215" t="s">
        <v>235</v>
      </c>
      <c r="R2" s="39" t="s">
        <v>236</v>
      </c>
      <c r="S2" s="91"/>
      <c r="T2" s="216" t="s">
        <v>484</v>
      </c>
      <c r="U2" s="217" t="s">
        <v>485</v>
      </c>
      <c r="V2" s="218" t="s">
        <v>240</v>
      </c>
      <c r="W2" s="36"/>
      <c r="X2" s="219" t="s">
        <v>241</v>
      </c>
      <c r="Y2" s="220"/>
      <c r="Z2" s="221" t="s">
        <v>242</v>
      </c>
    </row>
    <row r="3" ht="22.5" customHeight="1" spans="1:26">
      <c r="A3" s="90"/>
      <c r="B3" s="90"/>
      <c r="C3" s="49"/>
      <c r="D3" s="90"/>
      <c r="E3" s="90"/>
      <c r="F3" s="90"/>
      <c r="G3" s="49"/>
      <c r="H3" s="114"/>
      <c r="I3" s="222"/>
      <c r="J3" s="37"/>
      <c r="K3" s="90"/>
      <c r="L3" s="90"/>
      <c r="M3" s="90"/>
      <c r="N3" s="90"/>
      <c r="O3" s="114"/>
      <c r="P3" s="90"/>
      <c r="Q3" s="90"/>
      <c r="R3" s="223" t="s">
        <v>357</v>
      </c>
      <c r="S3" s="223" t="s">
        <v>244</v>
      </c>
      <c r="T3" s="90"/>
      <c r="U3" s="49"/>
      <c r="V3" s="224" t="s">
        <v>245</v>
      </c>
      <c r="W3" s="224" t="s">
        <v>246</v>
      </c>
      <c r="X3" s="101"/>
      <c r="Y3" s="225"/>
      <c r="Z3" s="90"/>
    </row>
    <row r="4" ht="26.25" customHeight="1" spans="1:26">
      <c r="A4" s="40" t="s">
        <v>52</v>
      </c>
      <c r="B4" s="53" t="s">
        <v>247</v>
      </c>
      <c r="C4" s="52" t="s">
        <v>486</v>
      </c>
      <c r="D4" s="40" t="s">
        <v>299</v>
      </c>
      <c r="E4" s="40"/>
      <c r="F4" s="40"/>
      <c r="G4" s="60" t="s">
        <v>283</v>
      </c>
      <c r="H4" s="103" t="s">
        <v>300</v>
      </c>
      <c r="I4" s="158" t="s">
        <v>269</v>
      </c>
      <c r="J4" s="226" t="s">
        <v>487</v>
      </c>
      <c r="K4" s="227" t="s">
        <v>488</v>
      </c>
      <c r="L4" s="61">
        <v>45729</v>
      </c>
      <c r="M4" s="53">
        <v>3200</v>
      </c>
      <c r="N4" s="62"/>
      <c r="O4" s="63">
        <v>3200</v>
      </c>
      <c r="P4" s="61">
        <v>45783</v>
      </c>
      <c r="Q4" s="228" t="s">
        <v>489</v>
      </c>
      <c r="R4" s="112" t="s">
        <v>269</v>
      </c>
      <c r="S4" s="61"/>
      <c r="T4" s="84"/>
      <c r="U4" s="69"/>
      <c r="V4" s="229"/>
      <c r="W4" s="137"/>
      <c r="X4" s="230"/>
      <c r="Y4" s="231"/>
      <c r="Z4" s="155">
        <f ca="1">A$1-L4</f>
        <v>240</v>
      </c>
    </row>
    <row r="5" ht="26.25" customHeight="1" spans="1:26">
      <c r="A5" s="45" t="s">
        <v>52</v>
      </c>
      <c r="B5" s="54" t="s">
        <v>247</v>
      </c>
      <c r="C5" s="100" t="s">
        <v>486</v>
      </c>
      <c r="D5" s="45" t="s">
        <v>299</v>
      </c>
      <c r="E5" s="45"/>
      <c r="F5" s="45"/>
      <c r="G5" s="95" t="s">
        <v>283</v>
      </c>
      <c r="H5" s="103" t="s">
        <v>300</v>
      </c>
      <c r="I5" s="158" t="s">
        <v>269</v>
      </c>
      <c r="J5" s="226" t="s">
        <v>490</v>
      </c>
      <c r="K5" s="227" t="s">
        <v>488</v>
      </c>
      <c r="L5" s="61">
        <v>45729</v>
      </c>
      <c r="M5" s="53">
        <v>2</v>
      </c>
      <c r="N5" s="62"/>
      <c r="O5" s="63">
        <v>2</v>
      </c>
      <c r="P5" s="61">
        <v>45783</v>
      </c>
      <c r="Q5" s="228" t="s">
        <v>489</v>
      </c>
      <c r="R5" s="112" t="s">
        <v>269</v>
      </c>
      <c r="S5" s="61"/>
      <c r="T5" s="84"/>
      <c r="U5" s="69"/>
      <c r="V5" s="229"/>
      <c r="W5" s="137"/>
      <c r="X5" s="230"/>
      <c r="Y5" s="231"/>
      <c r="Z5" s="155">
        <f ca="1">A$1-L5</f>
        <v>240</v>
      </c>
    </row>
    <row r="6" ht="26.25" customHeight="1" spans="1:26">
      <c r="A6" s="232" t="s">
        <v>491</v>
      </c>
      <c r="B6" s="53" t="s">
        <v>247</v>
      </c>
      <c r="C6" s="52" t="s">
        <v>492</v>
      </c>
      <c r="D6" s="227" t="s">
        <v>493</v>
      </c>
      <c r="E6" s="40"/>
      <c r="F6" s="40"/>
      <c r="G6" s="60" t="s">
        <v>247</v>
      </c>
      <c r="H6" s="103" t="s">
        <v>494</v>
      </c>
      <c r="I6" s="158" t="s">
        <v>269</v>
      </c>
      <c r="J6" s="232" t="s">
        <v>495</v>
      </c>
      <c r="K6" s="227" t="s">
        <v>496</v>
      </c>
      <c r="L6" s="61">
        <v>45676</v>
      </c>
      <c r="M6" s="137" t="s">
        <v>497</v>
      </c>
      <c r="N6" s="62"/>
      <c r="O6" s="63">
        <v>658</v>
      </c>
      <c r="P6" s="61">
        <v>45783</v>
      </c>
      <c r="Q6" s="228" t="s">
        <v>498</v>
      </c>
      <c r="R6" s="112" t="s">
        <v>269</v>
      </c>
      <c r="S6" s="61"/>
      <c r="T6" s="233" t="s">
        <v>499</v>
      </c>
      <c r="U6" s="69" t="s">
        <v>500</v>
      </c>
      <c r="V6" s="229" t="s">
        <v>501</v>
      </c>
      <c r="W6" s="137" t="s">
        <v>502</v>
      </c>
      <c r="X6" s="234"/>
      <c r="Y6" s="231">
        <v>45799</v>
      </c>
      <c r="Z6" s="155">
        <f ca="1">A$1-L6</f>
        <v>293</v>
      </c>
    </row>
    <row r="7" ht="26.25" customHeight="1" spans="1:26">
      <c r="A7" s="235" t="s">
        <v>491</v>
      </c>
      <c r="B7" s="88" t="s">
        <v>247</v>
      </c>
      <c r="C7" s="79" t="s">
        <v>492</v>
      </c>
      <c r="D7" s="236" t="s">
        <v>493</v>
      </c>
      <c r="E7" s="90"/>
      <c r="F7" s="90"/>
      <c r="G7" s="120" t="s">
        <v>247</v>
      </c>
      <c r="H7" s="103" t="s">
        <v>494</v>
      </c>
      <c r="I7" s="158" t="s">
        <v>269</v>
      </c>
      <c r="J7" s="232" t="s">
        <v>503</v>
      </c>
      <c r="K7" s="227" t="s">
        <v>496</v>
      </c>
      <c r="L7" s="61">
        <v>45676</v>
      </c>
      <c r="M7" s="53">
        <v>2</v>
      </c>
      <c r="N7" s="62"/>
      <c r="O7" s="63">
        <v>2</v>
      </c>
      <c r="P7" s="61">
        <v>45783</v>
      </c>
      <c r="Q7" s="228" t="s">
        <v>498</v>
      </c>
      <c r="R7" s="126" t="s">
        <v>269</v>
      </c>
      <c r="S7" s="80"/>
      <c r="T7" s="233" t="s">
        <v>499</v>
      </c>
      <c r="U7" s="69" t="s">
        <v>500</v>
      </c>
      <c r="V7" s="237" t="s">
        <v>501</v>
      </c>
      <c r="W7" s="238" t="s">
        <v>502</v>
      </c>
      <c r="X7" s="239"/>
      <c r="Y7" s="240">
        <v>45799</v>
      </c>
      <c r="Z7" s="241">
        <f ca="1">A$1-L7</f>
        <v>293</v>
      </c>
    </row>
    <row r="8" s="40" customFormat="1" ht="26.25" customHeight="1" spans="1:26">
      <c r="A8" s="40" t="s">
        <v>504</v>
      </c>
      <c r="B8" s="53" t="s">
        <v>247</v>
      </c>
      <c r="C8" s="40" t="s">
        <v>505</v>
      </c>
      <c r="D8" s="40" t="s">
        <v>506</v>
      </c>
      <c r="E8" s="40"/>
      <c r="F8" s="40"/>
      <c r="G8" s="53" t="s">
        <v>247</v>
      </c>
      <c r="H8" s="160" t="s">
        <v>507</v>
      </c>
      <c r="I8" s="154" t="s">
        <v>264</v>
      </c>
      <c r="J8" s="242" t="s">
        <v>508</v>
      </c>
      <c r="K8" s="243" t="s">
        <v>509</v>
      </c>
      <c r="L8" s="99">
        <v>45749</v>
      </c>
      <c r="M8" s="244">
        <v>200</v>
      </c>
      <c r="N8" s="92"/>
      <c r="O8" s="245">
        <v>200</v>
      </c>
      <c r="P8" s="99">
        <v>45783</v>
      </c>
      <c r="Q8" s="246"/>
      <c r="R8" s="126" t="s">
        <v>269</v>
      </c>
      <c r="S8" s="61"/>
      <c r="T8" s="233"/>
      <c r="U8" s="69"/>
      <c r="V8" s="229"/>
      <c r="W8" s="137"/>
      <c r="X8" s="230"/>
      <c r="Y8" s="230"/>
      <c r="Z8" s="155"/>
    </row>
    <row r="9" s="40" customFormat="1" ht="26.25" customHeight="1" spans="1:26">
      <c r="A9" s="247" t="s">
        <v>122</v>
      </c>
      <c r="B9" s="248" t="s">
        <v>247</v>
      </c>
      <c r="C9" s="247" t="s">
        <v>406</v>
      </c>
      <c r="D9" s="247" t="s">
        <v>407</v>
      </c>
      <c r="E9" s="247"/>
      <c r="F9" s="247"/>
      <c r="G9" s="248" t="s">
        <v>283</v>
      </c>
      <c r="H9" s="249" t="s">
        <v>123</v>
      </c>
      <c r="I9" s="250" t="s">
        <v>269</v>
      </c>
      <c r="J9" s="249" t="s">
        <v>408</v>
      </c>
      <c r="K9" s="251" t="s">
        <v>409</v>
      </c>
      <c r="L9" s="252">
        <v>45740</v>
      </c>
      <c r="M9" s="253">
        <v>360</v>
      </c>
      <c r="N9" s="254"/>
      <c r="O9" s="255">
        <v>360</v>
      </c>
      <c r="P9" s="252">
        <v>45783</v>
      </c>
      <c r="Q9" s="256" t="s">
        <v>510</v>
      </c>
      <c r="R9" s="257" t="s">
        <v>511</v>
      </c>
      <c r="S9" s="258">
        <v>45758</v>
      </c>
      <c r="T9" s="259"/>
      <c r="U9" s="260"/>
      <c r="V9" s="261"/>
      <c r="W9" s="262"/>
      <c r="X9" s="263" t="s">
        <v>512</v>
      </c>
      <c r="Y9" s="263"/>
      <c r="Z9" s="264">
        <f ca="1">A$1-L9</f>
        <v>229</v>
      </c>
    </row>
    <row r="10" s="40" customFormat="1" ht="26.25" customHeight="1" spans="1:26">
      <c r="A10" s="265" t="s">
        <v>513</v>
      </c>
      <c r="B10" s="53" t="s">
        <v>247</v>
      </c>
      <c r="C10" s="137" t="s">
        <v>514</v>
      </c>
      <c r="D10" s="265" t="s">
        <v>515</v>
      </c>
      <c r="G10" s="53" t="s">
        <v>247</v>
      </c>
      <c r="H10" s="94" t="s">
        <v>494</v>
      </c>
      <c r="I10" s="137"/>
      <c r="J10" s="266" t="s">
        <v>516</v>
      </c>
      <c r="K10" s="266" t="s">
        <v>517</v>
      </c>
      <c r="L10" s="61">
        <v>45726</v>
      </c>
      <c r="M10" s="53">
        <v>500</v>
      </c>
      <c r="N10" s="62"/>
      <c r="O10" s="63">
        <v>500</v>
      </c>
      <c r="P10" s="61">
        <v>45783</v>
      </c>
      <c r="Q10" s="228" t="s">
        <v>518</v>
      </c>
      <c r="R10" s="158" t="s">
        <v>269</v>
      </c>
      <c r="S10" s="61"/>
      <c r="T10" s="233" t="s">
        <v>499</v>
      </c>
      <c r="U10" s="69" t="s">
        <v>500</v>
      </c>
      <c r="V10" s="229"/>
      <c r="W10" s="137"/>
      <c r="X10" s="230"/>
      <c r="Y10" s="267"/>
      <c r="Z10" s="155">
        <f ca="1">A$1-L10</f>
        <v>243</v>
      </c>
    </row>
    <row r="11" s="40" customFormat="1" ht="26.25" customHeight="1" spans="1:26">
      <c r="A11" s="103" t="s">
        <v>513</v>
      </c>
      <c r="B11" s="53" t="s">
        <v>247</v>
      </c>
      <c r="C11" s="53" t="s">
        <v>514</v>
      </c>
      <c r="D11" s="103" t="s">
        <v>515</v>
      </c>
      <c r="G11" s="53" t="s">
        <v>247</v>
      </c>
      <c r="H11" s="150" t="s">
        <v>494</v>
      </c>
      <c r="I11" s="244"/>
      <c r="J11" s="268" t="s">
        <v>519</v>
      </c>
      <c r="K11" s="150" t="s">
        <v>517</v>
      </c>
      <c r="L11" s="99">
        <v>45726</v>
      </c>
      <c r="M11" s="54">
        <v>1</v>
      </c>
      <c r="N11" s="92"/>
      <c r="O11" s="162">
        <v>1</v>
      </c>
      <c r="P11" s="99">
        <v>45783</v>
      </c>
      <c r="Q11" s="228" t="s">
        <v>518</v>
      </c>
      <c r="R11" s="158" t="s">
        <v>269</v>
      </c>
      <c r="S11" s="61"/>
      <c r="T11" s="233" t="s">
        <v>499</v>
      </c>
      <c r="U11" s="69" t="s">
        <v>500</v>
      </c>
      <c r="V11" s="229"/>
      <c r="W11" s="137"/>
      <c r="X11" s="230"/>
      <c r="Y11" s="267"/>
      <c r="Z11" s="155">
        <f ca="1">A$1-L11</f>
        <v>243</v>
      </c>
    </row>
    <row r="12" s="200" customFormat="1" ht="26.25" customHeight="1" spans="1:26">
      <c r="A12" s="90" t="s">
        <v>419</v>
      </c>
      <c r="B12" s="88" t="s">
        <v>247</v>
      </c>
      <c r="C12" s="79" t="s">
        <v>520</v>
      </c>
      <c r="D12" s="90" t="s">
        <v>521</v>
      </c>
      <c r="E12" s="90"/>
      <c r="F12" s="90"/>
      <c r="G12" s="88" t="s">
        <v>247</v>
      </c>
      <c r="H12" s="269" t="s">
        <v>522</v>
      </c>
      <c r="I12" s="270"/>
      <c r="J12" s="235" t="s">
        <v>523</v>
      </c>
      <c r="K12" s="236" t="s">
        <v>524</v>
      </c>
      <c r="L12" s="80">
        <v>45763</v>
      </c>
      <c r="M12" s="79">
        <v>700</v>
      </c>
      <c r="N12" s="81"/>
      <c r="O12" s="271">
        <v>700</v>
      </c>
      <c r="P12" s="80">
        <v>45785</v>
      </c>
      <c r="Q12" s="272"/>
      <c r="R12" s="158" t="s">
        <v>511</v>
      </c>
      <c r="S12" s="61"/>
      <c r="T12" s="84"/>
      <c r="U12" s="69"/>
      <c r="V12" s="53"/>
      <c r="W12" s="53"/>
      <c r="X12" s="230"/>
      <c r="Y12" s="230"/>
      <c r="Z12" s="155"/>
    </row>
    <row r="13" s="40" customFormat="1" ht="26.25" customHeight="1" spans="1:26">
      <c r="A13" s="90" t="s">
        <v>27</v>
      </c>
      <c r="B13" s="88" t="s">
        <v>247</v>
      </c>
      <c r="C13" s="79" t="s">
        <v>470</v>
      </c>
      <c r="D13" s="273" t="s">
        <v>471</v>
      </c>
      <c r="E13" s="273"/>
      <c r="F13" s="273"/>
      <c r="G13" s="88" t="s">
        <v>283</v>
      </c>
      <c r="H13" s="273" t="s">
        <v>472</v>
      </c>
      <c r="I13" s="270" t="s">
        <v>269</v>
      </c>
      <c r="J13" s="122" t="s">
        <v>473</v>
      </c>
      <c r="K13" s="122" t="s">
        <v>474</v>
      </c>
      <c r="L13" s="80">
        <v>45719</v>
      </c>
      <c r="M13" s="79">
        <v>226</v>
      </c>
      <c r="N13" s="81"/>
      <c r="O13" s="271">
        <v>226</v>
      </c>
      <c r="P13" s="80">
        <v>45785</v>
      </c>
      <c r="Q13" s="274" t="s">
        <v>525</v>
      </c>
      <c r="R13" s="158" t="s">
        <v>269</v>
      </c>
      <c r="S13" s="61"/>
      <c r="T13" s="84"/>
      <c r="U13" s="69"/>
      <c r="V13" s="69"/>
      <c r="W13" s="69"/>
      <c r="X13" s="230"/>
      <c r="Y13" s="230"/>
      <c r="Z13" s="155">
        <f ca="1" t="shared" ref="Z13:Z18" si="0">A$1-L13</f>
        <v>250</v>
      </c>
    </row>
    <row r="14" s="40" customFormat="1" ht="26.25" customHeight="1" spans="1:26">
      <c r="A14" s="40" t="s">
        <v>27</v>
      </c>
      <c r="B14" s="53" t="s">
        <v>247</v>
      </c>
      <c r="C14" s="52" t="s">
        <v>526</v>
      </c>
      <c r="D14" s="40" t="s">
        <v>387</v>
      </c>
      <c r="E14" s="40"/>
      <c r="F14" s="40"/>
      <c r="G14" s="53" t="s">
        <v>283</v>
      </c>
      <c r="H14" s="103" t="s">
        <v>388</v>
      </c>
      <c r="I14" s="158" t="s">
        <v>269</v>
      </c>
      <c r="J14" s="227" t="s">
        <v>527</v>
      </c>
      <c r="K14" s="227" t="s">
        <v>528</v>
      </c>
      <c r="L14" s="61">
        <v>45733</v>
      </c>
      <c r="M14" s="52">
        <v>300</v>
      </c>
      <c r="N14" s="62"/>
      <c r="O14" s="63">
        <v>300</v>
      </c>
      <c r="P14" s="61">
        <v>45785</v>
      </c>
      <c r="Q14" s="275" t="s">
        <v>529</v>
      </c>
      <c r="R14" s="158" t="s">
        <v>269</v>
      </c>
      <c r="S14" s="61"/>
      <c r="T14" s="84"/>
      <c r="U14" s="69"/>
      <c r="V14" s="69"/>
      <c r="W14" s="69"/>
      <c r="X14" s="265"/>
      <c r="Y14" s="265"/>
      <c r="Z14" s="155">
        <f ca="1" t="shared" si="0"/>
        <v>236</v>
      </c>
    </row>
    <row r="15" s="40" customFormat="1" ht="26.25" customHeight="1" spans="1:26">
      <c r="A15" s="115" t="s">
        <v>530</v>
      </c>
      <c r="B15" s="53" t="s">
        <v>247</v>
      </c>
      <c r="C15" s="52" t="s">
        <v>531</v>
      </c>
      <c r="D15" s="115" t="s">
        <v>532</v>
      </c>
      <c r="E15" s="40"/>
      <c r="F15" s="40"/>
      <c r="G15" s="53" t="s">
        <v>247</v>
      </c>
      <c r="H15" s="266" t="s">
        <v>533</v>
      </c>
      <c r="I15" s="158" t="s">
        <v>534</v>
      </c>
      <c r="J15" s="232" t="s">
        <v>535</v>
      </c>
      <c r="K15" s="276" t="s">
        <v>536</v>
      </c>
      <c r="L15" s="277">
        <v>45736</v>
      </c>
      <c r="M15" s="137">
        <v>300</v>
      </c>
      <c r="N15" s="62"/>
      <c r="O15" s="63">
        <v>300</v>
      </c>
      <c r="P15" s="61">
        <v>45786</v>
      </c>
      <c r="Q15" s="275" t="s">
        <v>537</v>
      </c>
      <c r="R15" s="158" t="s">
        <v>269</v>
      </c>
      <c r="S15" s="61"/>
      <c r="T15" s="84"/>
      <c r="U15" s="69"/>
      <c r="V15" s="137"/>
      <c r="W15" s="137"/>
      <c r="X15" s="230"/>
      <c r="Y15" s="278"/>
      <c r="Z15" s="155">
        <f ca="1" t="shared" si="0"/>
        <v>233</v>
      </c>
    </row>
    <row r="16" ht="26.25" customHeight="1" spans="1:26">
      <c r="A16" s="279" t="s">
        <v>530</v>
      </c>
      <c r="B16" s="54" t="s">
        <v>247</v>
      </c>
      <c r="C16" s="100" t="s">
        <v>538</v>
      </c>
      <c r="D16" s="280" t="s">
        <v>539</v>
      </c>
      <c r="E16" s="45"/>
      <c r="F16" s="45"/>
      <c r="G16" s="54" t="s">
        <v>247</v>
      </c>
      <c r="H16" s="268" t="s">
        <v>540</v>
      </c>
      <c r="I16" s="154" t="s">
        <v>321</v>
      </c>
      <c r="J16" s="281" t="s">
        <v>541</v>
      </c>
      <c r="K16" s="282" t="s">
        <v>542</v>
      </c>
      <c r="L16" s="283">
        <v>45736</v>
      </c>
      <c r="M16" s="244">
        <v>120</v>
      </c>
      <c r="N16" s="92"/>
      <c r="O16" s="162">
        <v>120</v>
      </c>
      <c r="P16" s="99">
        <v>45786</v>
      </c>
      <c r="Q16" s="284" t="s">
        <v>537</v>
      </c>
      <c r="R16" s="166" t="s">
        <v>269</v>
      </c>
      <c r="S16" s="99"/>
      <c r="T16" s="153"/>
      <c r="U16" s="285"/>
      <c r="V16" s="244"/>
      <c r="W16" s="286"/>
      <c r="X16" s="287"/>
      <c r="Y16" s="288"/>
      <c r="Z16" s="289">
        <f ca="1" t="shared" si="0"/>
        <v>233</v>
      </c>
    </row>
    <row r="17" ht="26.25" customHeight="1" spans="1:26">
      <c r="A17" s="290" t="s">
        <v>530</v>
      </c>
      <c r="B17" s="53" t="s">
        <v>247</v>
      </c>
      <c r="C17" s="52" t="s">
        <v>543</v>
      </c>
      <c r="D17" s="115" t="s">
        <v>539</v>
      </c>
      <c r="E17" s="40"/>
      <c r="F17" s="40"/>
      <c r="G17" s="53" t="s">
        <v>247</v>
      </c>
      <c r="H17" s="266" t="s">
        <v>540</v>
      </c>
      <c r="I17" s="158" t="s">
        <v>321</v>
      </c>
      <c r="J17" s="232" t="s">
        <v>544</v>
      </c>
      <c r="K17" s="276" t="s">
        <v>545</v>
      </c>
      <c r="L17" s="277">
        <v>45736</v>
      </c>
      <c r="M17" s="137">
        <v>80</v>
      </c>
      <c r="N17" s="62"/>
      <c r="O17" s="63">
        <v>80</v>
      </c>
      <c r="P17" s="61">
        <v>45786</v>
      </c>
      <c r="Q17" s="272" t="s">
        <v>537</v>
      </c>
      <c r="R17" s="112" t="s">
        <v>269</v>
      </c>
      <c r="S17" s="61"/>
      <c r="T17" s="84"/>
      <c r="U17" s="69"/>
      <c r="V17" s="137"/>
      <c r="W17" s="229"/>
      <c r="X17" s="230"/>
      <c r="Y17" s="231"/>
      <c r="Z17" s="155">
        <f ca="1" t="shared" si="0"/>
        <v>233</v>
      </c>
    </row>
    <row r="18" ht="26.25" customHeight="1" spans="1:26">
      <c r="A18" s="290" t="s">
        <v>530</v>
      </c>
      <c r="B18" s="53" t="s">
        <v>247</v>
      </c>
      <c r="C18" s="52" t="s">
        <v>543</v>
      </c>
      <c r="D18" s="115" t="s">
        <v>539</v>
      </c>
      <c r="E18" s="40"/>
      <c r="F18" s="40"/>
      <c r="G18" s="53" t="s">
        <v>247</v>
      </c>
      <c r="H18" s="266" t="s">
        <v>540</v>
      </c>
      <c r="I18" s="158" t="s">
        <v>321</v>
      </c>
      <c r="J18" s="232" t="s">
        <v>546</v>
      </c>
      <c r="K18" s="276" t="s">
        <v>545</v>
      </c>
      <c r="L18" s="277">
        <v>45736</v>
      </c>
      <c r="M18" s="137">
        <v>150</v>
      </c>
      <c r="N18" s="62"/>
      <c r="O18" s="63">
        <v>150</v>
      </c>
      <c r="P18" s="61">
        <v>45786</v>
      </c>
      <c r="Q18" s="272" t="s">
        <v>537</v>
      </c>
      <c r="R18" s="112" t="s">
        <v>269</v>
      </c>
      <c r="S18" s="61"/>
      <c r="T18" s="84"/>
      <c r="U18" s="69"/>
      <c r="V18" s="137"/>
      <c r="W18" s="229"/>
      <c r="X18" s="230"/>
      <c r="Y18" s="231"/>
      <c r="Z18" s="155">
        <f ca="1" t="shared" si="0"/>
        <v>233</v>
      </c>
    </row>
    <row r="19" ht="26.25" customHeight="1" spans="1:26">
      <c r="A19" s="265" t="s">
        <v>168</v>
      </c>
      <c r="B19" s="53" t="s">
        <v>247</v>
      </c>
      <c r="C19" s="53" t="s">
        <v>547</v>
      </c>
      <c r="D19" s="265" t="s">
        <v>548</v>
      </c>
      <c r="E19" s="40"/>
      <c r="F19" s="40"/>
      <c r="G19" s="53" t="s">
        <v>247</v>
      </c>
      <c r="H19" s="291" t="s">
        <v>549</v>
      </c>
      <c r="I19" s="137" t="s">
        <v>284</v>
      </c>
      <c r="J19" s="274" t="s">
        <v>550</v>
      </c>
      <c r="K19" s="266" t="s">
        <v>551</v>
      </c>
      <c r="L19" s="61">
        <v>45762</v>
      </c>
      <c r="M19" s="137">
        <v>20</v>
      </c>
      <c r="N19" s="62"/>
      <c r="O19" s="292">
        <v>20</v>
      </c>
      <c r="P19" s="61">
        <v>45786</v>
      </c>
      <c r="Q19" s="272"/>
      <c r="R19" s="112" t="s">
        <v>511</v>
      </c>
      <c r="S19" s="61">
        <v>45765</v>
      </c>
      <c r="T19" s="84"/>
      <c r="U19" s="69"/>
      <c r="V19" s="53"/>
      <c r="W19" s="55"/>
      <c r="X19" s="230"/>
      <c r="Y19" s="231"/>
      <c r="Z19" s="155"/>
    </row>
    <row r="20" s="40" customFormat="1" ht="26.25" customHeight="1" spans="1:26">
      <c r="A20" s="40" t="s">
        <v>178</v>
      </c>
      <c r="B20" s="53" t="s">
        <v>247</v>
      </c>
      <c r="C20" s="52" t="s">
        <v>552</v>
      </c>
      <c r="D20" s="40" t="s">
        <v>553</v>
      </c>
      <c r="E20" s="40"/>
      <c r="F20" s="40"/>
      <c r="G20" s="53" t="s">
        <v>283</v>
      </c>
      <c r="H20" s="103" t="s">
        <v>554</v>
      </c>
      <c r="I20" s="158" t="s">
        <v>555</v>
      </c>
      <c r="J20" s="227" t="s">
        <v>556</v>
      </c>
      <c r="K20" s="227" t="s">
        <v>557</v>
      </c>
      <c r="L20" s="61">
        <v>45754</v>
      </c>
      <c r="M20" s="52">
        <v>71</v>
      </c>
      <c r="N20" s="62"/>
      <c r="O20" s="63">
        <v>71</v>
      </c>
      <c r="P20" s="61">
        <v>45786</v>
      </c>
      <c r="Q20" s="272"/>
      <c r="R20" s="112" t="s">
        <v>269</v>
      </c>
      <c r="S20" s="61"/>
      <c r="T20" s="84"/>
      <c r="U20" s="69"/>
      <c r="V20" s="137"/>
      <c r="W20" s="137"/>
      <c r="X20" s="265"/>
      <c r="Y20" s="230"/>
      <c r="Z20" s="155"/>
    </row>
    <row r="21" s="40" customFormat="1" ht="26.25" customHeight="1" spans="1:26">
      <c r="A21" s="90" t="s">
        <v>178</v>
      </c>
      <c r="B21" s="88" t="s">
        <v>247</v>
      </c>
      <c r="C21" s="79" t="s">
        <v>552</v>
      </c>
      <c r="D21" s="90" t="s">
        <v>558</v>
      </c>
      <c r="E21" s="90"/>
      <c r="F21" s="90"/>
      <c r="G21" s="88" t="s">
        <v>283</v>
      </c>
      <c r="H21" s="273" t="s">
        <v>559</v>
      </c>
      <c r="I21" s="270" t="s">
        <v>269</v>
      </c>
      <c r="J21" s="236" t="s">
        <v>556</v>
      </c>
      <c r="K21" s="227" t="s">
        <v>557</v>
      </c>
      <c r="L21" s="61">
        <v>45754</v>
      </c>
      <c r="M21" s="52">
        <v>31</v>
      </c>
      <c r="N21" s="62"/>
      <c r="O21" s="63">
        <v>31</v>
      </c>
      <c r="P21" s="61">
        <v>45786</v>
      </c>
      <c r="Q21" s="272"/>
      <c r="R21" s="112" t="s">
        <v>269</v>
      </c>
      <c r="S21" s="61"/>
      <c r="T21" s="84"/>
      <c r="U21" s="69"/>
      <c r="V21" s="137"/>
      <c r="W21" s="229"/>
      <c r="X21" s="265"/>
      <c r="Y21" s="234"/>
      <c r="Z21" s="155"/>
    </row>
    <row r="22" s="40" customFormat="1" ht="26.25" customHeight="1" spans="1:26">
      <c r="A22" s="90" t="s">
        <v>77</v>
      </c>
      <c r="B22" s="53" t="s">
        <v>247</v>
      </c>
      <c r="C22" s="79" t="s">
        <v>560</v>
      </c>
      <c r="D22" s="265" t="s">
        <v>561</v>
      </c>
      <c r="G22" s="53" t="s">
        <v>247</v>
      </c>
      <c r="H22" s="103" t="s">
        <v>86</v>
      </c>
      <c r="I22" s="158" t="s">
        <v>269</v>
      </c>
      <c r="J22" s="236" t="s">
        <v>562</v>
      </c>
      <c r="K22" s="227" t="s">
        <v>563</v>
      </c>
      <c r="L22" s="61">
        <v>45734</v>
      </c>
      <c r="M22" s="52">
        <v>3400</v>
      </c>
      <c r="N22" s="62"/>
      <c r="O22" s="63">
        <v>3400</v>
      </c>
      <c r="P22" s="61">
        <v>45786</v>
      </c>
      <c r="Q22" s="272"/>
      <c r="R22" s="112" t="s">
        <v>269</v>
      </c>
      <c r="S22" s="61"/>
      <c r="T22" s="84"/>
      <c r="U22" s="69"/>
      <c r="V22" s="137"/>
      <c r="W22" s="229"/>
      <c r="X22" s="265" t="s">
        <v>564</v>
      </c>
      <c r="Y22" s="234"/>
      <c r="Z22" s="155">
        <f ca="1">A$1-L22</f>
        <v>235</v>
      </c>
    </row>
    <row r="23" ht="26.25" customHeight="1" spans="1:26">
      <c r="A23" s="90" t="s">
        <v>130</v>
      </c>
      <c r="B23" s="88" t="s">
        <v>247</v>
      </c>
      <c r="C23" s="79" t="s">
        <v>565</v>
      </c>
      <c r="D23" s="90" t="s">
        <v>566</v>
      </c>
      <c r="E23" s="90"/>
      <c r="F23" s="90"/>
      <c r="G23" s="88" t="s">
        <v>283</v>
      </c>
      <c r="H23" s="273" t="s">
        <v>567</v>
      </c>
      <c r="I23" s="270" t="s">
        <v>534</v>
      </c>
      <c r="J23" s="236" t="s">
        <v>568</v>
      </c>
      <c r="K23" s="293" t="s">
        <v>569</v>
      </c>
      <c r="L23" s="80">
        <v>45750</v>
      </c>
      <c r="M23" s="79">
        <v>1000</v>
      </c>
      <c r="N23" s="81"/>
      <c r="O23" s="271">
        <v>1000</v>
      </c>
      <c r="P23" s="80">
        <v>45786</v>
      </c>
      <c r="Q23" s="272"/>
      <c r="R23" s="112" t="s">
        <v>269</v>
      </c>
      <c r="S23" s="61"/>
      <c r="T23" s="84"/>
      <c r="U23" s="294"/>
      <c r="V23" s="238"/>
      <c r="W23" s="229"/>
      <c r="X23" s="230"/>
      <c r="Y23" s="234"/>
      <c r="Z23" s="155"/>
    </row>
    <row r="24" ht="26.25" customHeight="1" spans="1:26">
      <c r="A24" s="265" t="s">
        <v>491</v>
      </c>
      <c r="B24" s="53" t="s">
        <v>247</v>
      </c>
      <c r="C24" s="53" t="s">
        <v>570</v>
      </c>
      <c r="D24" s="265" t="s">
        <v>571</v>
      </c>
      <c r="E24" s="40"/>
      <c r="F24" s="40"/>
      <c r="G24" s="53" t="s">
        <v>283</v>
      </c>
      <c r="H24" s="291" t="s">
        <v>572</v>
      </c>
      <c r="I24" s="137"/>
      <c r="J24" s="274" t="s">
        <v>573</v>
      </c>
      <c r="K24" s="266" t="s">
        <v>574</v>
      </c>
      <c r="L24" s="61">
        <v>45726</v>
      </c>
      <c r="M24" s="137" t="s">
        <v>575</v>
      </c>
      <c r="N24" s="62"/>
      <c r="O24" s="292">
        <v>382</v>
      </c>
      <c r="P24" s="61">
        <v>45787</v>
      </c>
      <c r="Q24" s="295" t="s">
        <v>576</v>
      </c>
      <c r="R24" s="112" t="s">
        <v>269</v>
      </c>
      <c r="S24" s="80"/>
      <c r="T24" s="296" t="s">
        <v>577</v>
      </c>
      <c r="U24" s="294"/>
      <c r="V24" s="88"/>
      <c r="W24" s="55"/>
      <c r="X24" s="230"/>
      <c r="Y24" s="231"/>
      <c r="Z24" s="155">
        <f ca="1">A$1-L24</f>
        <v>243</v>
      </c>
    </row>
    <row r="25" ht="26.25" customHeight="1" spans="1:26">
      <c r="A25" s="103" t="s">
        <v>491</v>
      </c>
      <c r="B25" s="53" t="s">
        <v>247</v>
      </c>
      <c r="C25" s="53" t="s">
        <v>570</v>
      </c>
      <c r="D25" s="103" t="s">
        <v>571</v>
      </c>
      <c r="E25" s="40"/>
      <c r="F25" s="40"/>
      <c r="G25" s="53" t="s">
        <v>283</v>
      </c>
      <c r="H25" s="291" t="s">
        <v>572</v>
      </c>
      <c r="I25" s="137"/>
      <c r="J25" s="274" t="s">
        <v>578</v>
      </c>
      <c r="K25" s="94" t="s">
        <v>574</v>
      </c>
      <c r="L25" s="61">
        <v>45726</v>
      </c>
      <c r="M25" s="53">
        <v>1</v>
      </c>
      <c r="N25" s="62"/>
      <c r="O25" s="63">
        <v>1</v>
      </c>
      <c r="P25" s="61">
        <v>45787</v>
      </c>
      <c r="Q25" s="272" t="s">
        <v>576</v>
      </c>
      <c r="R25" s="158" t="s">
        <v>269</v>
      </c>
      <c r="S25" s="61"/>
      <c r="T25" s="233" t="s">
        <v>577</v>
      </c>
      <c r="U25" s="69"/>
      <c r="V25" s="297"/>
      <c r="W25" s="55"/>
      <c r="X25" s="230"/>
      <c r="Y25" s="231"/>
      <c r="Z25" s="155">
        <f ca="1">A$1-L25</f>
        <v>243</v>
      </c>
    </row>
    <row r="26" ht="26.25" customHeight="1" spans="1:26">
      <c r="A26" s="49" t="s">
        <v>7</v>
      </c>
      <c r="B26" s="54" t="s">
        <v>247</v>
      </c>
      <c r="C26" s="298" t="s">
        <v>579</v>
      </c>
      <c r="D26" s="45" t="s">
        <v>580</v>
      </c>
      <c r="E26" s="45"/>
      <c r="F26" s="45"/>
      <c r="G26" s="54" t="s">
        <v>283</v>
      </c>
      <c r="H26" s="160" t="s">
        <v>581</v>
      </c>
      <c r="I26" s="154" t="s">
        <v>264</v>
      </c>
      <c r="J26" s="299" t="s">
        <v>582</v>
      </c>
      <c r="K26" s="243" t="s">
        <v>583</v>
      </c>
      <c r="L26" s="99">
        <v>45757</v>
      </c>
      <c r="M26" s="100">
        <v>160</v>
      </c>
      <c r="N26" s="92"/>
      <c r="O26" s="162">
        <v>160</v>
      </c>
      <c r="P26" s="99">
        <v>45787</v>
      </c>
      <c r="Q26" s="284"/>
      <c r="R26" s="166" t="s">
        <v>269</v>
      </c>
      <c r="S26" s="99"/>
      <c r="T26" s="233" t="s">
        <v>499</v>
      </c>
      <c r="U26" s="69"/>
      <c r="V26" s="297"/>
      <c r="W26" s="55"/>
      <c r="X26" s="230"/>
      <c r="Y26" s="234"/>
      <c r="Z26" s="155"/>
    </row>
    <row r="27" ht="26.25" customHeight="1" spans="1:26">
      <c r="A27" s="40" t="s">
        <v>7</v>
      </c>
      <c r="B27" s="54" t="s">
        <v>247</v>
      </c>
      <c r="C27" s="298" t="s">
        <v>579</v>
      </c>
      <c r="D27" s="49" t="s">
        <v>584</v>
      </c>
      <c r="E27" s="49"/>
      <c r="F27" s="49"/>
      <c r="G27" s="54" t="s">
        <v>247</v>
      </c>
      <c r="H27" s="300" t="s">
        <v>585</v>
      </c>
      <c r="I27" s="301" t="s">
        <v>264</v>
      </c>
      <c r="J27" s="299" t="s">
        <v>582</v>
      </c>
      <c r="K27" s="302" t="s">
        <v>583</v>
      </c>
      <c r="L27" s="303">
        <v>45757</v>
      </c>
      <c r="M27" s="298">
        <v>60</v>
      </c>
      <c r="N27" s="304"/>
      <c r="O27" s="63">
        <v>60</v>
      </c>
      <c r="P27" s="61">
        <v>45787</v>
      </c>
      <c r="Q27" s="305"/>
      <c r="R27" s="166" t="s">
        <v>269</v>
      </c>
      <c r="S27" s="303"/>
      <c r="T27" s="84" t="s">
        <v>499</v>
      </c>
      <c r="U27" s="306"/>
      <c r="V27" s="88"/>
      <c r="W27" s="55"/>
      <c r="X27" s="230"/>
      <c r="Y27" s="234"/>
      <c r="Z27" s="155"/>
    </row>
    <row r="28" ht="26.25" customHeight="1" spans="1:26">
      <c r="A28" s="90" t="s">
        <v>7</v>
      </c>
      <c r="B28" s="88" t="s">
        <v>247</v>
      </c>
      <c r="C28" s="79" t="s">
        <v>579</v>
      </c>
      <c r="D28" s="90" t="s">
        <v>586</v>
      </c>
      <c r="E28" s="90"/>
      <c r="F28" s="90"/>
      <c r="G28" s="88" t="s">
        <v>247</v>
      </c>
      <c r="H28" s="273" t="s">
        <v>587</v>
      </c>
      <c r="I28" s="270" t="s">
        <v>264</v>
      </c>
      <c r="J28" s="236" t="s">
        <v>582</v>
      </c>
      <c r="K28" s="293" t="s">
        <v>583</v>
      </c>
      <c r="L28" s="80">
        <v>45757</v>
      </c>
      <c r="M28" s="79">
        <v>60</v>
      </c>
      <c r="N28" s="81"/>
      <c r="O28" s="271">
        <v>60</v>
      </c>
      <c r="P28" s="80">
        <v>45787</v>
      </c>
      <c r="Q28" s="295"/>
      <c r="R28" s="166" t="s">
        <v>269</v>
      </c>
      <c r="S28" s="80"/>
      <c r="T28" s="84" t="s">
        <v>499</v>
      </c>
      <c r="U28" s="294"/>
      <c r="V28" s="88"/>
      <c r="W28" s="55"/>
      <c r="X28" s="230"/>
      <c r="Y28" s="234"/>
      <c r="Z28" s="155"/>
    </row>
    <row r="29" ht="26.25" customHeight="1" spans="1:26">
      <c r="A29" s="40" t="s">
        <v>7</v>
      </c>
      <c r="B29" s="53" t="s">
        <v>247</v>
      </c>
      <c r="C29" s="52" t="s">
        <v>579</v>
      </c>
      <c r="D29" s="40" t="s">
        <v>588</v>
      </c>
      <c r="E29" s="40"/>
      <c r="F29" s="40"/>
      <c r="G29" s="53" t="s">
        <v>283</v>
      </c>
      <c r="H29" s="103" t="s">
        <v>589</v>
      </c>
      <c r="I29" s="158" t="s">
        <v>264</v>
      </c>
      <c r="J29" s="227" t="s">
        <v>582</v>
      </c>
      <c r="K29" s="227" t="s">
        <v>583</v>
      </c>
      <c r="L29" s="61">
        <v>45757</v>
      </c>
      <c r="M29" s="52">
        <v>80</v>
      </c>
      <c r="N29" s="62"/>
      <c r="O29" s="63">
        <v>80</v>
      </c>
      <c r="P29" s="307">
        <v>45787</v>
      </c>
      <c r="Q29" s="272"/>
      <c r="R29" s="166" t="s">
        <v>269</v>
      </c>
      <c r="S29" s="61"/>
      <c r="T29" s="84" t="s">
        <v>499</v>
      </c>
      <c r="U29" s="69"/>
      <c r="V29" s="297"/>
      <c r="W29" s="55"/>
      <c r="X29" s="230"/>
      <c r="Y29" s="234"/>
      <c r="Z29" s="155"/>
    </row>
    <row r="30" ht="26.25" customHeight="1" spans="1:26">
      <c r="A30" s="40" t="s">
        <v>7</v>
      </c>
      <c r="B30" s="53" t="s">
        <v>247</v>
      </c>
      <c r="C30" s="52" t="s">
        <v>579</v>
      </c>
      <c r="D30" s="40" t="s">
        <v>590</v>
      </c>
      <c r="E30" s="40"/>
      <c r="F30" s="40"/>
      <c r="G30" s="53" t="s">
        <v>283</v>
      </c>
      <c r="H30" s="103" t="s">
        <v>591</v>
      </c>
      <c r="I30" s="158" t="s">
        <v>264</v>
      </c>
      <c r="J30" s="227" t="s">
        <v>582</v>
      </c>
      <c r="K30" s="227" t="s">
        <v>583</v>
      </c>
      <c r="L30" s="61">
        <v>45757</v>
      </c>
      <c r="M30" s="52">
        <v>120</v>
      </c>
      <c r="N30" s="62"/>
      <c r="O30" s="63">
        <v>120</v>
      </c>
      <c r="P30" s="80">
        <v>45787</v>
      </c>
      <c r="Q30" s="272"/>
      <c r="R30" s="166" t="s">
        <v>269</v>
      </c>
      <c r="S30" s="61"/>
      <c r="T30" s="84" t="s">
        <v>499</v>
      </c>
      <c r="U30" s="69"/>
      <c r="V30" s="297"/>
      <c r="W30" s="55"/>
      <c r="X30" s="230"/>
      <c r="Y30" s="234"/>
      <c r="Z30" s="155"/>
    </row>
    <row r="31" ht="26.25" customHeight="1" spans="1:26">
      <c r="A31" s="45" t="s">
        <v>317</v>
      </c>
      <c r="B31" s="54" t="s">
        <v>247</v>
      </c>
      <c r="C31" s="100" t="s">
        <v>592</v>
      </c>
      <c r="D31" s="45" t="s">
        <v>593</v>
      </c>
      <c r="E31" s="45"/>
      <c r="F31" s="45"/>
      <c r="G31" s="54" t="s">
        <v>247</v>
      </c>
      <c r="H31" s="160" t="s">
        <v>594</v>
      </c>
      <c r="I31" s="154" t="s">
        <v>321</v>
      </c>
      <c r="J31" s="243" t="s">
        <v>595</v>
      </c>
      <c r="K31" s="243" t="s">
        <v>596</v>
      </c>
      <c r="L31" s="99">
        <v>45754</v>
      </c>
      <c r="M31" s="100">
        <v>55</v>
      </c>
      <c r="N31" s="92"/>
      <c r="O31" s="162">
        <v>55</v>
      </c>
      <c r="P31" s="61">
        <v>45787</v>
      </c>
      <c r="Q31" s="284"/>
      <c r="R31" s="166" t="s">
        <v>269</v>
      </c>
      <c r="S31" s="99"/>
      <c r="T31" s="84"/>
      <c r="U31" s="285"/>
      <c r="V31" s="137"/>
      <c r="W31" s="286"/>
      <c r="X31" s="287"/>
      <c r="Y31" s="234"/>
      <c r="Z31" s="155"/>
    </row>
    <row r="32" ht="26.25" customHeight="1" spans="1:26">
      <c r="A32" s="308" t="s">
        <v>491</v>
      </c>
      <c r="B32" s="309" t="s">
        <v>247</v>
      </c>
      <c r="C32" s="310" t="s">
        <v>597</v>
      </c>
      <c r="D32" s="49" t="s">
        <v>598</v>
      </c>
      <c r="E32" s="49"/>
      <c r="F32" s="49"/>
      <c r="G32" s="309" t="s">
        <v>283</v>
      </c>
      <c r="H32" s="300" t="s">
        <v>599</v>
      </c>
      <c r="I32" s="301" t="s">
        <v>264</v>
      </c>
      <c r="J32" s="311" t="s">
        <v>600</v>
      </c>
      <c r="K32" s="299" t="s">
        <v>601</v>
      </c>
      <c r="L32" s="303">
        <v>45742</v>
      </c>
      <c r="M32" s="312" t="s">
        <v>602</v>
      </c>
      <c r="N32" s="304"/>
      <c r="O32" s="313">
        <v>804</v>
      </c>
      <c r="P32" s="61">
        <v>45787</v>
      </c>
      <c r="Q32" s="314" t="s">
        <v>603</v>
      </c>
      <c r="R32" s="166" t="s">
        <v>269</v>
      </c>
      <c r="S32" s="303"/>
      <c r="T32" s="315" t="s">
        <v>577</v>
      </c>
      <c r="U32" s="69"/>
      <c r="V32" s="137"/>
      <c r="W32" s="316"/>
      <c r="X32" s="308"/>
      <c r="Y32" s="317"/>
      <c r="Z32" s="155">
        <f ca="1">A$1-L32</f>
        <v>227</v>
      </c>
    </row>
    <row r="33" s="40" customFormat="1" ht="26.25" customHeight="1" spans="1:26">
      <c r="A33" s="103" t="s">
        <v>491</v>
      </c>
      <c r="B33" s="53" t="s">
        <v>247</v>
      </c>
      <c r="C33" s="52" t="s">
        <v>597</v>
      </c>
      <c r="D33" s="40" t="s">
        <v>598</v>
      </c>
      <c r="E33" s="40"/>
      <c r="F33" s="40"/>
      <c r="G33" s="53" t="s">
        <v>283</v>
      </c>
      <c r="H33" s="103" t="s">
        <v>599</v>
      </c>
      <c r="I33" s="158" t="s">
        <v>264</v>
      </c>
      <c r="J33" s="291" t="s">
        <v>600</v>
      </c>
      <c r="K33" s="227" t="s">
        <v>601</v>
      </c>
      <c r="L33" s="61">
        <v>45742</v>
      </c>
      <c r="M33" s="52">
        <v>2</v>
      </c>
      <c r="N33" s="62"/>
      <c r="O33" s="63">
        <v>2</v>
      </c>
      <c r="P33" s="61">
        <v>45787</v>
      </c>
      <c r="Q33" s="318" t="s">
        <v>603</v>
      </c>
      <c r="R33" s="158" t="s">
        <v>269</v>
      </c>
      <c r="S33" s="61"/>
      <c r="T33" s="233" t="s">
        <v>577</v>
      </c>
      <c r="U33" s="69"/>
      <c r="V33" s="286"/>
      <c r="W33" s="137"/>
      <c r="X33" s="265"/>
      <c r="Y33" s="230"/>
      <c r="Z33" s="155">
        <f ca="1">A$1-L33</f>
        <v>227</v>
      </c>
    </row>
    <row r="34" s="40" customFormat="1" ht="26.25" customHeight="1" spans="1:26">
      <c r="A34" s="45" t="s">
        <v>604</v>
      </c>
      <c r="B34" s="54" t="s">
        <v>247</v>
      </c>
      <c r="C34" s="100" t="s">
        <v>605</v>
      </c>
      <c r="D34" s="45" t="s">
        <v>606</v>
      </c>
      <c r="E34" s="45"/>
      <c r="F34" s="45"/>
      <c r="G34" s="54" t="s">
        <v>283</v>
      </c>
      <c r="H34" s="160" t="s">
        <v>494</v>
      </c>
      <c r="I34" s="154" t="s">
        <v>269</v>
      </c>
      <c r="J34" s="243" t="s">
        <v>607</v>
      </c>
      <c r="K34" s="243" t="s">
        <v>608</v>
      </c>
      <c r="L34" s="99">
        <v>45744</v>
      </c>
      <c r="M34" s="100">
        <v>1027</v>
      </c>
      <c r="N34" s="92"/>
      <c r="O34" s="162">
        <v>1027</v>
      </c>
      <c r="P34" s="61">
        <v>45789</v>
      </c>
      <c r="Q34" s="272" t="s">
        <v>609</v>
      </c>
      <c r="R34" s="154" t="s">
        <v>269</v>
      </c>
      <c r="S34" s="61"/>
      <c r="T34" s="233" t="s">
        <v>499</v>
      </c>
      <c r="U34" s="69" t="s">
        <v>500</v>
      </c>
      <c r="V34" s="55"/>
      <c r="W34" s="53"/>
      <c r="X34" s="230"/>
      <c r="Y34" s="230"/>
      <c r="Z34" s="155"/>
    </row>
    <row r="35" ht="26.25" customHeight="1" spans="1:26">
      <c r="A35" s="45" t="s">
        <v>604</v>
      </c>
      <c r="B35" s="54" t="s">
        <v>247</v>
      </c>
      <c r="C35" s="100" t="s">
        <v>605</v>
      </c>
      <c r="D35" s="45" t="s">
        <v>606</v>
      </c>
      <c r="E35" s="45"/>
      <c r="F35" s="45"/>
      <c r="G35" s="54" t="s">
        <v>283</v>
      </c>
      <c r="H35" s="160" t="s">
        <v>494</v>
      </c>
      <c r="I35" s="154" t="s">
        <v>269</v>
      </c>
      <c r="J35" s="243" t="s">
        <v>610</v>
      </c>
      <c r="K35" s="243" t="s">
        <v>608</v>
      </c>
      <c r="L35" s="99">
        <v>45744</v>
      </c>
      <c r="M35" s="100">
        <v>3</v>
      </c>
      <c r="N35" s="92"/>
      <c r="O35" s="162">
        <v>3</v>
      </c>
      <c r="P35" s="99">
        <v>45789</v>
      </c>
      <c r="Q35" s="228" t="s">
        <v>609</v>
      </c>
      <c r="R35" s="154" t="s">
        <v>269</v>
      </c>
      <c r="S35" s="99"/>
      <c r="T35" s="233" t="s">
        <v>499</v>
      </c>
      <c r="U35" s="69" t="s">
        <v>500</v>
      </c>
      <c r="V35" s="58"/>
      <c r="W35" s="54"/>
      <c r="X35" s="287"/>
      <c r="Y35" s="319"/>
      <c r="Z35" s="155"/>
    </row>
    <row r="36" ht="26.25" customHeight="1" spans="1:26">
      <c r="A36" s="40" t="s">
        <v>604</v>
      </c>
      <c r="B36" s="53" t="s">
        <v>247</v>
      </c>
      <c r="C36" s="52" t="s">
        <v>605</v>
      </c>
      <c r="D36" s="40" t="s">
        <v>606</v>
      </c>
      <c r="E36" s="40"/>
      <c r="F36" s="40"/>
      <c r="G36" s="53" t="s">
        <v>283</v>
      </c>
      <c r="H36" s="103" t="s">
        <v>494</v>
      </c>
      <c r="I36" s="158" t="s">
        <v>269</v>
      </c>
      <c r="J36" s="227" t="s">
        <v>611</v>
      </c>
      <c r="K36" s="227" t="s">
        <v>608</v>
      </c>
      <c r="L36" s="61">
        <v>45744</v>
      </c>
      <c r="M36" s="52">
        <v>614</v>
      </c>
      <c r="N36" s="62"/>
      <c r="O36" s="63">
        <v>614</v>
      </c>
      <c r="P36" s="61">
        <v>45789</v>
      </c>
      <c r="Q36" s="228" t="s">
        <v>612</v>
      </c>
      <c r="R36" s="158" t="s">
        <v>269</v>
      </c>
      <c r="S36" s="99"/>
      <c r="T36" s="233" t="s">
        <v>499</v>
      </c>
      <c r="U36" s="69" t="s">
        <v>613</v>
      </c>
      <c r="V36" s="58"/>
      <c r="W36" s="54"/>
      <c r="X36" s="287"/>
      <c r="Y36" s="319"/>
      <c r="Z36" s="155"/>
    </row>
    <row r="37" ht="26.25" customHeight="1" spans="1:26">
      <c r="A37" s="90" t="s">
        <v>604</v>
      </c>
      <c r="B37" s="88" t="s">
        <v>247</v>
      </c>
      <c r="C37" s="79" t="s">
        <v>605</v>
      </c>
      <c r="D37" s="90" t="s">
        <v>606</v>
      </c>
      <c r="E37" s="90"/>
      <c r="F37" s="90"/>
      <c r="G37" s="88" t="s">
        <v>283</v>
      </c>
      <c r="H37" s="273" t="s">
        <v>494</v>
      </c>
      <c r="I37" s="270" t="s">
        <v>269</v>
      </c>
      <c r="J37" s="236" t="s">
        <v>614</v>
      </c>
      <c r="K37" s="236" t="s">
        <v>608</v>
      </c>
      <c r="L37" s="80">
        <v>45744</v>
      </c>
      <c r="M37" s="79">
        <v>2</v>
      </c>
      <c r="N37" s="81"/>
      <c r="O37" s="271">
        <v>2</v>
      </c>
      <c r="P37" s="80">
        <v>45789</v>
      </c>
      <c r="Q37" s="228" t="s">
        <v>612</v>
      </c>
      <c r="R37" s="158" t="s">
        <v>269</v>
      </c>
      <c r="S37" s="99"/>
      <c r="T37" s="84" t="s">
        <v>499</v>
      </c>
      <c r="U37" s="69" t="s">
        <v>613</v>
      </c>
      <c r="V37" s="54"/>
      <c r="W37" s="54"/>
      <c r="X37" s="287"/>
      <c r="Y37" s="319"/>
      <c r="Z37" s="155"/>
    </row>
    <row r="38" s="40" customFormat="1" ht="26.25" customHeight="1" spans="1:26">
      <c r="A38" s="40" t="s">
        <v>205</v>
      </c>
      <c r="B38" s="53" t="s">
        <v>247</v>
      </c>
      <c r="C38" s="52" t="s">
        <v>615</v>
      </c>
      <c r="D38" s="40" t="s">
        <v>616</v>
      </c>
      <c r="E38" s="40"/>
      <c r="F38" s="40"/>
      <c r="G38" s="53" t="s">
        <v>283</v>
      </c>
      <c r="H38" s="103" t="s">
        <v>617</v>
      </c>
      <c r="I38" s="158" t="s">
        <v>534</v>
      </c>
      <c r="J38" s="227" t="s">
        <v>618</v>
      </c>
      <c r="K38" s="227" t="s">
        <v>619</v>
      </c>
      <c r="L38" s="61">
        <v>45762</v>
      </c>
      <c r="M38" s="52">
        <v>10</v>
      </c>
      <c r="N38" s="62"/>
      <c r="O38" s="63">
        <v>10</v>
      </c>
      <c r="P38" s="61">
        <v>45789</v>
      </c>
      <c r="Q38" s="284"/>
      <c r="R38" s="112" t="s">
        <v>269</v>
      </c>
      <c r="S38" s="61"/>
      <c r="T38" s="84"/>
      <c r="U38" s="69"/>
      <c r="V38" s="137"/>
      <c r="W38" s="137"/>
      <c r="X38" s="230"/>
      <c r="Y38" s="230"/>
      <c r="Z38" s="155"/>
    </row>
    <row r="39" ht="26.25" customHeight="1" spans="1:26">
      <c r="A39" s="45" t="s">
        <v>122</v>
      </c>
      <c r="B39" s="309" t="s">
        <v>247</v>
      </c>
      <c r="C39" s="100" t="s">
        <v>620</v>
      </c>
      <c r="D39" s="45" t="s">
        <v>621</v>
      </c>
      <c r="E39" s="45"/>
      <c r="F39" s="45"/>
      <c r="G39" s="309" t="s">
        <v>283</v>
      </c>
      <c r="H39" s="160" t="s">
        <v>622</v>
      </c>
      <c r="I39" s="154" t="s">
        <v>269</v>
      </c>
      <c r="J39" s="320" t="s">
        <v>623</v>
      </c>
      <c r="K39" s="243" t="s">
        <v>624</v>
      </c>
      <c r="L39" s="99">
        <v>45758</v>
      </c>
      <c r="M39" s="100">
        <v>40</v>
      </c>
      <c r="N39" s="92"/>
      <c r="O39" s="162">
        <v>40</v>
      </c>
      <c r="P39" s="99">
        <v>45789</v>
      </c>
      <c r="Q39" s="228"/>
      <c r="R39" s="112" t="s">
        <v>511</v>
      </c>
      <c r="S39" s="99" t="s">
        <v>625</v>
      </c>
      <c r="T39" s="321"/>
      <c r="U39" s="285"/>
      <c r="V39" s="244"/>
      <c r="W39" s="244"/>
      <c r="X39" s="287"/>
      <c r="Y39" s="319"/>
      <c r="Z39" s="155"/>
    </row>
    <row r="40" ht="26.25" customHeight="1" spans="1:26">
      <c r="A40" s="40" t="s">
        <v>52</v>
      </c>
      <c r="B40" s="53" t="s">
        <v>247</v>
      </c>
      <c r="C40" s="52" t="s">
        <v>626</v>
      </c>
      <c r="D40" s="40" t="s">
        <v>627</v>
      </c>
      <c r="E40" s="40"/>
      <c r="F40" s="40"/>
      <c r="G40" s="53" t="s">
        <v>247</v>
      </c>
      <c r="H40" s="103" t="s">
        <v>628</v>
      </c>
      <c r="I40" s="154" t="s">
        <v>269</v>
      </c>
      <c r="J40" s="227" t="s">
        <v>629</v>
      </c>
      <c r="K40" s="227" t="s">
        <v>630</v>
      </c>
      <c r="L40" s="61">
        <v>45757</v>
      </c>
      <c r="M40" s="52">
        <v>120</v>
      </c>
      <c r="N40" s="62"/>
      <c r="O40" s="63">
        <v>120</v>
      </c>
      <c r="P40" s="61">
        <v>45789</v>
      </c>
      <c r="Q40" s="228"/>
      <c r="R40" s="112" t="s">
        <v>269</v>
      </c>
      <c r="S40" s="99"/>
      <c r="T40" s="321"/>
      <c r="U40" s="285"/>
      <c r="V40" s="244"/>
      <c r="W40" s="244"/>
      <c r="X40" s="287"/>
      <c r="Y40" s="319"/>
      <c r="Z40" s="155"/>
    </row>
    <row r="41" ht="26.25" customHeight="1" spans="1:26">
      <c r="A41" s="90" t="s">
        <v>325</v>
      </c>
      <c r="B41" s="88" t="s">
        <v>247</v>
      </c>
      <c r="C41" s="79" t="s">
        <v>631</v>
      </c>
      <c r="D41" s="90" t="s">
        <v>632</v>
      </c>
      <c r="E41" s="90"/>
      <c r="F41" s="90"/>
      <c r="G41" s="88" t="s">
        <v>283</v>
      </c>
      <c r="H41" s="273" t="s">
        <v>633</v>
      </c>
      <c r="I41" s="270" t="s">
        <v>264</v>
      </c>
      <c r="J41" s="236" t="s">
        <v>634</v>
      </c>
      <c r="K41" s="236" t="s">
        <v>635</v>
      </c>
      <c r="L41" s="80">
        <v>45747</v>
      </c>
      <c r="M41" s="79">
        <v>80</v>
      </c>
      <c r="N41" s="81"/>
      <c r="O41" s="271">
        <v>80</v>
      </c>
      <c r="P41" s="61">
        <v>45789</v>
      </c>
      <c r="Q41" s="228"/>
      <c r="R41" s="112" t="s">
        <v>269</v>
      </c>
      <c r="S41" s="99"/>
      <c r="T41" s="321"/>
      <c r="U41" s="285"/>
      <c r="V41" s="244"/>
      <c r="W41" s="244"/>
      <c r="X41" s="287"/>
      <c r="Y41" s="319"/>
      <c r="Z41" s="155"/>
    </row>
    <row r="42" ht="26.25" customHeight="1" spans="1:26">
      <c r="A42" s="90" t="s">
        <v>7</v>
      </c>
      <c r="B42" s="88" t="s">
        <v>247</v>
      </c>
      <c r="C42" s="79" t="s">
        <v>636</v>
      </c>
      <c r="D42" s="90" t="s">
        <v>637</v>
      </c>
      <c r="E42" s="90"/>
      <c r="F42" s="90"/>
      <c r="G42" s="88" t="s">
        <v>247</v>
      </c>
      <c r="H42" s="273" t="s">
        <v>638</v>
      </c>
      <c r="I42" s="270" t="s">
        <v>269</v>
      </c>
      <c r="J42" s="236" t="s">
        <v>639</v>
      </c>
      <c r="K42" s="236" t="s">
        <v>640</v>
      </c>
      <c r="L42" s="80">
        <v>45742</v>
      </c>
      <c r="M42" s="79">
        <v>64</v>
      </c>
      <c r="N42" s="81"/>
      <c r="O42" s="271">
        <v>64</v>
      </c>
      <c r="P42" s="61">
        <v>45790</v>
      </c>
      <c r="Q42" s="228" t="s">
        <v>641</v>
      </c>
      <c r="R42" s="112" t="s">
        <v>269</v>
      </c>
      <c r="S42" s="99"/>
      <c r="T42" s="321" t="s">
        <v>642</v>
      </c>
      <c r="U42" s="285"/>
      <c r="V42" s="244"/>
      <c r="W42" s="244"/>
      <c r="X42" s="287"/>
      <c r="Y42" s="319"/>
      <c r="Z42" s="155">
        <f ca="1">A$1-L42</f>
        <v>227</v>
      </c>
    </row>
    <row r="43" ht="26.25" customHeight="1" spans="1:26">
      <c r="A43" s="290" t="s">
        <v>530</v>
      </c>
      <c r="B43" s="54" t="s">
        <v>247</v>
      </c>
      <c r="C43" s="79" t="s">
        <v>643</v>
      </c>
      <c r="D43" s="290" t="s">
        <v>644</v>
      </c>
      <c r="E43" s="90"/>
      <c r="F43" s="90"/>
      <c r="G43" s="54" t="s">
        <v>247</v>
      </c>
      <c r="H43" s="322" t="s">
        <v>645</v>
      </c>
      <c r="I43" s="270" t="s">
        <v>646</v>
      </c>
      <c r="J43" s="323" t="s">
        <v>647</v>
      </c>
      <c r="K43" s="324" t="s">
        <v>648</v>
      </c>
      <c r="L43" s="325">
        <v>45736</v>
      </c>
      <c r="M43" s="238">
        <v>200</v>
      </c>
      <c r="N43" s="81"/>
      <c r="O43" s="271">
        <v>200</v>
      </c>
      <c r="P43" s="61">
        <v>45791</v>
      </c>
      <c r="Q43" s="228" t="s">
        <v>649</v>
      </c>
      <c r="R43" s="326" t="s">
        <v>269</v>
      </c>
      <c r="S43" s="99"/>
      <c r="T43" s="321"/>
      <c r="U43" s="285"/>
      <c r="V43" s="244"/>
      <c r="W43" s="244"/>
      <c r="X43" s="287"/>
      <c r="Y43" s="288"/>
      <c r="Z43" s="155">
        <f ca="1">A$1-L43</f>
        <v>233</v>
      </c>
    </row>
    <row r="44" ht="26.25" customHeight="1" spans="1:26">
      <c r="A44" s="290" t="s">
        <v>530</v>
      </c>
      <c r="B44" s="54" t="s">
        <v>247</v>
      </c>
      <c r="C44" s="79" t="s">
        <v>650</v>
      </c>
      <c r="D44" s="290" t="s">
        <v>651</v>
      </c>
      <c r="E44" s="90"/>
      <c r="F44" s="90"/>
      <c r="G44" s="54" t="s">
        <v>652</v>
      </c>
      <c r="H44" s="322" t="s">
        <v>653</v>
      </c>
      <c r="I44" s="270" t="s">
        <v>269</v>
      </c>
      <c r="J44" s="323" t="s">
        <v>647</v>
      </c>
      <c r="K44" s="324" t="s">
        <v>654</v>
      </c>
      <c r="L44" s="325">
        <v>45764</v>
      </c>
      <c r="M44" s="238">
        <v>200</v>
      </c>
      <c r="N44" s="81"/>
      <c r="O44" s="271">
        <v>200</v>
      </c>
      <c r="P44" s="61">
        <v>45791</v>
      </c>
      <c r="Q44" s="228"/>
      <c r="R44" s="326" t="s">
        <v>269</v>
      </c>
      <c r="S44" s="99"/>
      <c r="T44" s="321"/>
      <c r="U44" s="285"/>
      <c r="V44" s="244"/>
      <c r="W44" s="244"/>
      <c r="X44" s="287"/>
      <c r="Y44" s="288"/>
      <c r="Z44" s="155"/>
    </row>
    <row r="45" ht="26.25" customHeight="1" spans="1:26">
      <c r="A45" s="290" t="s">
        <v>530</v>
      </c>
      <c r="B45" s="54" t="s">
        <v>247</v>
      </c>
      <c r="C45" s="79" t="s">
        <v>655</v>
      </c>
      <c r="D45" s="290" t="s">
        <v>644</v>
      </c>
      <c r="E45" s="90"/>
      <c r="F45" s="90"/>
      <c r="G45" s="54" t="s">
        <v>247</v>
      </c>
      <c r="H45" s="322" t="s">
        <v>645</v>
      </c>
      <c r="I45" s="270" t="s">
        <v>646</v>
      </c>
      <c r="J45" s="323" t="s">
        <v>656</v>
      </c>
      <c r="K45" s="324" t="s">
        <v>657</v>
      </c>
      <c r="L45" s="325">
        <v>45736</v>
      </c>
      <c r="M45" s="238">
        <v>370</v>
      </c>
      <c r="N45" s="81"/>
      <c r="O45" s="271">
        <v>370</v>
      </c>
      <c r="P45" s="61">
        <v>45791</v>
      </c>
      <c r="Q45" s="228" t="s">
        <v>649</v>
      </c>
      <c r="R45" s="326" t="s">
        <v>269</v>
      </c>
      <c r="S45" s="99"/>
      <c r="T45" s="321"/>
      <c r="U45" s="285"/>
      <c r="V45" s="244"/>
      <c r="W45" s="244"/>
      <c r="X45" s="287"/>
      <c r="Y45" s="288"/>
      <c r="Z45" s="155">
        <f ca="1" t="shared" ref="Z45:Z55" si="1">A$1-L45</f>
        <v>233</v>
      </c>
    </row>
    <row r="46" ht="26.25" customHeight="1" spans="1:26">
      <c r="A46" s="290" t="s">
        <v>530</v>
      </c>
      <c r="B46" s="54" t="s">
        <v>247</v>
      </c>
      <c r="C46" s="79" t="s">
        <v>658</v>
      </c>
      <c r="D46" s="269" t="s">
        <v>659</v>
      </c>
      <c r="E46" s="90"/>
      <c r="F46" s="90"/>
      <c r="G46" s="54" t="s">
        <v>247</v>
      </c>
      <c r="H46" s="322" t="s">
        <v>653</v>
      </c>
      <c r="I46" s="270" t="s">
        <v>269</v>
      </c>
      <c r="J46" s="269" t="s">
        <v>656</v>
      </c>
      <c r="K46" s="322" t="s">
        <v>660</v>
      </c>
      <c r="L46" s="80">
        <v>45743</v>
      </c>
      <c r="M46" s="238">
        <v>370</v>
      </c>
      <c r="N46" s="81"/>
      <c r="O46" s="271">
        <v>370</v>
      </c>
      <c r="P46" s="61">
        <v>45791</v>
      </c>
      <c r="Q46" s="228" t="s">
        <v>661</v>
      </c>
      <c r="R46" s="326" t="s">
        <v>269</v>
      </c>
      <c r="S46" s="99"/>
      <c r="T46" s="321"/>
      <c r="U46" s="285"/>
      <c r="V46" s="54"/>
      <c r="W46" s="54"/>
      <c r="X46" s="287"/>
      <c r="Y46" s="327"/>
      <c r="Z46" s="155">
        <f ca="1" t="shared" si="1"/>
        <v>226</v>
      </c>
    </row>
    <row r="47" ht="26.25" customHeight="1" spans="1:26">
      <c r="A47" s="290" t="s">
        <v>530</v>
      </c>
      <c r="B47" s="54" t="s">
        <v>247</v>
      </c>
      <c r="C47" s="79" t="s">
        <v>658</v>
      </c>
      <c r="D47" s="269" t="s">
        <v>659</v>
      </c>
      <c r="E47" s="90"/>
      <c r="F47" s="90"/>
      <c r="G47" s="54" t="s">
        <v>247</v>
      </c>
      <c r="H47" s="322" t="s">
        <v>653</v>
      </c>
      <c r="I47" s="270" t="s">
        <v>269</v>
      </c>
      <c r="J47" s="269" t="s">
        <v>662</v>
      </c>
      <c r="K47" s="322" t="s">
        <v>663</v>
      </c>
      <c r="L47" s="80">
        <v>45743</v>
      </c>
      <c r="M47" s="238">
        <v>450</v>
      </c>
      <c r="N47" s="81"/>
      <c r="O47" s="271">
        <v>450</v>
      </c>
      <c r="P47" s="61">
        <v>45791</v>
      </c>
      <c r="Q47" s="228" t="s">
        <v>661</v>
      </c>
      <c r="R47" s="326" t="s">
        <v>269</v>
      </c>
      <c r="S47" s="99"/>
      <c r="T47" s="321"/>
      <c r="U47" s="285"/>
      <c r="V47" s="54"/>
      <c r="W47" s="54"/>
      <c r="X47" s="287"/>
      <c r="Y47" s="327"/>
      <c r="Z47" s="155">
        <f ca="1" t="shared" si="1"/>
        <v>226</v>
      </c>
    </row>
    <row r="48" ht="26.25" customHeight="1" spans="1:26">
      <c r="A48" s="290" t="s">
        <v>530</v>
      </c>
      <c r="B48" s="54" t="s">
        <v>247</v>
      </c>
      <c r="C48" s="79" t="s">
        <v>658</v>
      </c>
      <c r="D48" s="273" t="s">
        <v>659</v>
      </c>
      <c r="E48" s="90"/>
      <c r="F48" s="90"/>
      <c r="G48" s="54" t="s">
        <v>247</v>
      </c>
      <c r="H48" s="322" t="s">
        <v>653</v>
      </c>
      <c r="I48" s="270" t="s">
        <v>269</v>
      </c>
      <c r="J48" s="269" t="s">
        <v>664</v>
      </c>
      <c r="K48" s="322" t="s">
        <v>660</v>
      </c>
      <c r="L48" s="80">
        <v>45743</v>
      </c>
      <c r="M48" s="238">
        <v>300</v>
      </c>
      <c r="N48" s="81"/>
      <c r="O48" s="271">
        <v>300</v>
      </c>
      <c r="P48" s="61">
        <v>45791</v>
      </c>
      <c r="Q48" s="228" t="s">
        <v>661</v>
      </c>
      <c r="R48" s="326" t="s">
        <v>269</v>
      </c>
      <c r="S48" s="99"/>
      <c r="T48" s="321"/>
      <c r="U48" s="285"/>
      <c r="V48" s="54"/>
      <c r="W48" s="54"/>
      <c r="X48" s="287"/>
      <c r="Y48" s="327"/>
      <c r="Z48" s="155">
        <f ca="1" t="shared" si="1"/>
        <v>226</v>
      </c>
    </row>
    <row r="49" ht="26.25" customHeight="1" spans="1:26">
      <c r="A49" s="115" t="s">
        <v>530</v>
      </c>
      <c r="B49" s="53" t="s">
        <v>247</v>
      </c>
      <c r="C49" s="52" t="s">
        <v>658</v>
      </c>
      <c r="D49" s="103" t="s">
        <v>659</v>
      </c>
      <c r="E49" s="40"/>
      <c r="F49" s="40"/>
      <c r="G49" s="53" t="s">
        <v>247</v>
      </c>
      <c r="H49" s="266" t="s">
        <v>653</v>
      </c>
      <c r="I49" s="158" t="s">
        <v>269</v>
      </c>
      <c r="J49" s="265" t="s">
        <v>665</v>
      </c>
      <c r="K49" s="266" t="s">
        <v>660</v>
      </c>
      <c r="L49" s="61">
        <v>45743</v>
      </c>
      <c r="M49" s="137">
        <v>145</v>
      </c>
      <c r="N49" s="62"/>
      <c r="O49" s="63">
        <v>145</v>
      </c>
      <c r="P49" s="61">
        <v>45791</v>
      </c>
      <c r="Q49" s="228" t="s">
        <v>661</v>
      </c>
      <c r="R49" s="326" t="s">
        <v>269</v>
      </c>
      <c r="S49" s="99"/>
      <c r="T49" s="321"/>
      <c r="U49" s="285"/>
      <c r="V49" s="244"/>
      <c r="W49" s="244"/>
      <c r="X49" s="287"/>
      <c r="Y49" s="288"/>
      <c r="Z49" s="155">
        <f ca="1" t="shared" si="1"/>
        <v>226</v>
      </c>
    </row>
    <row r="50" ht="26.25" customHeight="1" spans="1:26">
      <c r="A50" s="280" t="s">
        <v>530</v>
      </c>
      <c r="B50" s="54" t="s">
        <v>247</v>
      </c>
      <c r="C50" s="100" t="s">
        <v>658</v>
      </c>
      <c r="D50" s="160" t="s">
        <v>659</v>
      </c>
      <c r="E50" s="45"/>
      <c r="F50" s="45"/>
      <c r="G50" s="54" t="s">
        <v>247</v>
      </c>
      <c r="H50" s="268" t="s">
        <v>653</v>
      </c>
      <c r="I50" s="154" t="s">
        <v>269</v>
      </c>
      <c r="J50" s="328" t="s">
        <v>666</v>
      </c>
      <c r="K50" s="268" t="s">
        <v>660</v>
      </c>
      <c r="L50" s="99">
        <v>45743</v>
      </c>
      <c r="M50" s="244">
        <v>200</v>
      </c>
      <c r="N50" s="92"/>
      <c r="O50" s="162">
        <v>200</v>
      </c>
      <c r="P50" s="61">
        <v>45791</v>
      </c>
      <c r="Q50" s="329" t="s">
        <v>661</v>
      </c>
      <c r="R50" s="158" t="s">
        <v>269</v>
      </c>
      <c r="S50" s="330"/>
      <c r="T50" s="315"/>
      <c r="U50" s="285"/>
      <c r="V50" s="54"/>
      <c r="W50" s="54"/>
      <c r="X50" s="287"/>
      <c r="Y50" s="327"/>
      <c r="Z50" s="155">
        <f ca="1" t="shared" si="1"/>
        <v>226</v>
      </c>
    </row>
    <row r="51" s="40" customFormat="1" ht="26.25" customHeight="1" spans="1:26">
      <c r="A51" s="279" t="s">
        <v>530</v>
      </c>
      <c r="B51" s="88" t="s">
        <v>247</v>
      </c>
      <c r="C51" s="298" t="s">
        <v>667</v>
      </c>
      <c r="D51" s="279" t="s">
        <v>644</v>
      </c>
      <c r="E51" s="49"/>
      <c r="F51" s="49"/>
      <c r="G51" s="88" t="s">
        <v>247</v>
      </c>
      <c r="H51" s="331" t="s">
        <v>645</v>
      </c>
      <c r="I51" s="301" t="s">
        <v>646</v>
      </c>
      <c r="J51" s="332" t="s">
        <v>665</v>
      </c>
      <c r="K51" s="333" t="s">
        <v>668</v>
      </c>
      <c r="L51" s="334">
        <v>45736</v>
      </c>
      <c r="M51" s="312">
        <v>145</v>
      </c>
      <c r="N51" s="304"/>
      <c r="O51" s="335">
        <v>145</v>
      </c>
      <c r="P51" s="80">
        <v>45791</v>
      </c>
      <c r="Q51" s="336" t="s">
        <v>649</v>
      </c>
      <c r="R51" s="270" t="s">
        <v>269</v>
      </c>
      <c r="S51" s="330"/>
      <c r="T51" s="315"/>
      <c r="U51" s="306"/>
      <c r="V51" s="244"/>
      <c r="W51" s="244"/>
      <c r="X51" s="287"/>
      <c r="Y51" s="288"/>
      <c r="Z51" s="155">
        <f ca="1" t="shared" si="1"/>
        <v>233</v>
      </c>
    </row>
    <row r="52" s="40" customFormat="1" ht="26.25" customHeight="1" spans="1:26">
      <c r="A52" s="115" t="s">
        <v>530</v>
      </c>
      <c r="B52" s="53" t="s">
        <v>247</v>
      </c>
      <c r="C52" s="52" t="s">
        <v>667</v>
      </c>
      <c r="D52" s="115" t="s">
        <v>644</v>
      </c>
      <c r="E52" s="40"/>
      <c r="F52" s="40"/>
      <c r="G52" s="53" t="s">
        <v>247</v>
      </c>
      <c r="H52" s="266" t="s">
        <v>645</v>
      </c>
      <c r="I52" s="158" t="s">
        <v>646</v>
      </c>
      <c r="J52" s="232" t="s">
        <v>666</v>
      </c>
      <c r="K52" s="276" t="s">
        <v>668</v>
      </c>
      <c r="L52" s="277">
        <v>45736</v>
      </c>
      <c r="M52" s="137">
        <v>200</v>
      </c>
      <c r="N52" s="62"/>
      <c r="O52" s="63">
        <v>200</v>
      </c>
      <c r="P52" s="61">
        <v>45791</v>
      </c>
      <c r="Q52" s="272" t="s">
        <v>649</v>
      </c>
      <c r="R52" s="158" t="s">
        <v>269</v>
      </c>
      <c r="S52" s="61"/>
      <c r="T52" s="84"/>
      <c r="U52" s="69"/>
      <c r="V52" s="244"/>
      <c r="W52" s="244"/>
      <c r="X52" s="287"/>
      <c r="Y52" s="288"/>
      <c r="Z52" s="155">
        <f ca="1" t="shared" si="1"/>
        <v>233</v>
      </c>
    </row>
    <row r="53" s="40" customFormat="1" ht="26.25" customHeight="1" spans="1:26">
      <c r="A53" s="115" t="s">
        <v>530</v>
      </c>
      <c r="B53" s="53" t="s">
        <v>247</v>
      </c>
      <c r="C53" s="52" t="s">
        <v>669</v>
      </c>
      <c r="D53" s="115" t="s">
        <v>670</v>
      </c>
      <c r="E53" s="40"/>
      <c r="F53" s="40"/>
      <c r="G53" s="53" t="s">
        <v>247</v>
      </c>
      <c r="H53" s="266" t="s">
        <v>671</v>
      </c>
      <c r="I53" s="158" t="s">
        <v>646</v>
      </c>
      <c r="J53" s="232" t="s">
        <v>662</v>
      </c>
      <c r="K53" s="276" t="s">
        <v>672</v>
      </c>
      <c r="L53" s="277">
        <v>45736</v>
      </c>
      <c r="M53" s="137">
        <v>450</v>
      </c>
      <c r="N53" s="62"/>
      <c r="O53" s="63">
        <v>450</v>
      </c>
      <c r="P53" s="61">
        <v>45791</v>
      </c>
      <c r="Q53" s="329" t="s">
        <v>649</v>
      </c>
      <c r="R53" s="154" t="s">
        <v>269</v>
      </c>
      <c r="S53" s="337"/>
      <c r="T53" s="321"/>
      <c r="U53" s="285"/>
      <c r="V53" s="137"/>
      <c r="W53" s="137"/>
      <c r="X53" s="230"/>
      <c r="Y53" s="278"/>
      <c r="Z53" s="155">
        <f ca="1" t="shared" si="1"/>
        <v>233</v>
      </c>
    </row>
    <row r="54" s="40" customFormat="1" ht="26.25" customHeight="1" spans="1:26">
      <c r="A54" s="115" t="s">
        <v>530</v>
      </c>
      <c r="B54" s="53" t="s">
        <v>247</v>
      </c>
      <c r="C54" s="52" t="s">
        <v>669</v>
      </c>
      <c r="D54" s="115" t="s">
        <v>670</v>
      </c>
      <c r="E54" s="40"/>
      <c r="F54" s="40"/>
      <c r="G54" s="53" t="s">
        <v>247</v>
      </c>
      <c r="H54" s="266" t="s">
        <v>671</v>
      </c>
      <c r="I54" s="158" t="s">
        <v>646</v>
      </c>
      <c r="J54" s="232" t="s">
        <v>664</v>
      </c>
      <c r="K54" s="276" t="s">
        <v>672</v>
      </c>
      <c r="L54" s="277">
        <v>45736</v>
      </c>
      <c r="M54" s="137">
        <v>300</v>
      </c>
      <c r="N54" s="62"/>
      <c r="O54" s="63">
        <v>300</v>
      </c>
      <c r="P54" s="61">
        <v>45791</v>
      </c>
      <c r="Q54" s="329" t="s">
        <v>649</v>
      </c>
      <c r="R54" s="158" t="s">
        <v>269</v>
      </c>
      <c r="S54" s="338"/>
      <c r="T54" s="339"/>
      <c r="U54" s="69"/>
      <c r="V54" s="137"/>
      <c r="W54" s="137"/>
      <c r="X54" s="230"/>
      <c r="Y54" s="278"/>
      <c r="Z54" s="155">
        <f ca="1" t="shared" si="1"/>
        <v>233</v>
      </c>
    </row>
    <row r="55" ht="26.25" customHeight="1" spans="1:26">
      <c r="A55" s="40" t="s">
        <v>122</v>
      </c>
      <c r="B55" s="53" t="s">
        <v>247</v>
      </c>
      <c r="C55" s="52" t="s">
        <v>673</v>
      </c>
      <c r="D55" s="40" t="s">
        <v>674</v>
      </c>
      <c r="E55" s="40"/>
      <c r="F55" s="40"/>
      <c r="G55" s="53" t="s">
        <v>283</v>
      </c>
      <c r="H55" s="103" t="s">
        <v>675</v>
      </c>
      <c r="I55" s="158" t="s">
        <v>269</v>
      </c>
      <c r="J55" s="226" t="s">
        <v>676</v>
      </c>
      <c r="K55" s="227" t="s">
        <v>409</v>
      </c>
      <c r="L55" s="61">
        <v>45740</v>
      </c>
      <c r="M55" s="137">
        <v>340</v>
      </c>
      <c r="N55" s="62"/>
      <c r="O55" s="292">
        <v>340</v>
      </c>
      <c r="P55" s="61">
        <v>45791</v>
      </c>
      <c r="Q55" s="340" t="s">
        <v>677</v>
      </c>
      <c r="R55" s="158" t="s">
        <v>511</v>
      </c>
      <c r="S55" s="61">
        <v>45763</v>
      </c>
      <c r="T55" s="84"/>
      <c r="U55" s="285"/>
      <c r="V55" s="54"/>
      <c r="W55" s="54"/>
      <c r="X55" s="287"/>
      <c r="Y55" s="319"/>
      <c r="Z55" s="155">
        <f ca="1" t="shared" si="1"/>
        <v>229</v>
      </c>
    </row>
    <row r="56" ht="26.25" customHeight="1" spans="1:26">
      <c r="A56" s="40" t="s">
        <v>678</v>
      </c>
      <c r="B56" s="53" t="s">
        <v>247</v>
      </c>
      <c r="C56" s="52" t="s">
        <v>679</v>
      </c>
      <c r="D56" s="40" t="s">
        <v>680</v>
      </c>
      <c r="E56" s="40"/>
      <c r="F56" s="40"/>
      <c r="G56" s="53" t="s">
        <v>283</v>
      </c>
      <c r="H56" s="103" t="s">
        <v>681</v>
      </c>
      <c r="I56" s="137" t="s">
        <v>269</v>
      </c>
      <c r="J56" s="227" t="s">
        <v>682</v>
      </c>
      <c r="K56" s="227" t="s">
        <v>683</v>
      </c>
      <c r="L56" s="61">
        <v>45758</v>
      </c>
      <c r="M56" s="52">
        <v>50</v>
      </c>
      <c r="N56" s="62"/>
      <c r="O56" s="63">
        <v>50</v>
      </c>
      <c r="P56" s="61">
        <v>45791</v>
      </c>
      <c r="Q56" s="341" t="s">
        <v>684</v>
      </c>
      <c r="R56" s="158" t="s">
        <v>511</v>
      </c>
      <c r="S56" s="80">
        <v>45768</v>
      </c>
      <c r="T56" s="84"/>
      <c r="U56" s="294"/>
      <c r="V56" s="88"/>
      <c r="W56" s="88"/>
      <c r="X56" s="342"/>
      <c r="Y56" s="239"/>
      <c r="Z56" s="155"/>
    </row>
    <row r="57" s="40" customFormat="1" ht="26.25" customHeight="1" spans="1:26">
      <c r="A57" s="45" t="s">
        <v>678</v>
      </c>
      <c r="B57" s="309" t="s">
        <v>247</v>
      </c>
      <c r="C57" s="100" t="s">
        <v>685</v>
      </c>
      <c r="D57" s="45" t="s">
        <v>680</v>
      </c>
      <c r="E57" s="45"/>
      <c r="F57" s="45"/>
      <c r="G57" s="54" t="s">
        <v>283</v>
      </c>
      <c r="H57" s="160" t="s">
        <v>681</v>
      </c>
      <c r="I57" s="154" t="s">
        <v>269</v>
      </c>
      <c r="J57" s="243" t="s">
        <v>686</v>
      </c>
      <c r="K57" s="243" t="s">
        <v>687</v>
      </c>
      <c r="L57" s="99">
        <v>45754</v>
      </c>
      <c r="M57" s="244">
        <v>50</v>
      </c>
      <c r="N57" s="92"/>
      <c r="O57" s="245">
        <v>50</v>
      </c>
      <c r="P57" s="99">
        <v>45791</v>
      </c>
      <c r="Q57" s="341"/>
      <c r="R57" s="158" t="s">
        <v>511</v>
      </c>
      <c r="S57" s="343">
        <v>45762</v>
      </c>
      <c r="T57" s="344"/>
      <c r="U57" s="294"/>
      <c r="V57" s="238"/>
      <c r="W57" s="238"/>
      <c r="X57" s="342"/>
      <c r="Y57" s="239"/>
      <c r="Z57" s="155"/>
    </row>
    <row r="58" s="40" customFormat="1" ht="26.25" customHeight="1" spans="1:26">
      <c r="A58" s="280" t="s">
        <v>688</v>
      </c>
      <c r="B58" s="53" t="s">
        <v>247</v>
      </c>
      <c r="C58" s="52" t="s">
        <v>689</v>
      </c>
      <c r="D58" s="328" t="s">
        <v>690</v>
      </c>
      <c r="E58" s="45"/>
      <c r="F58" s="45"/>
      <c r="G58" s="53" t="s">
        <v>247</v>
      </c>
      <c r="H58" s="268" t="s">
        <v>691</v>
      </c>
      <c r="I58" s="154" t="s">
        <v>646</v>
      </c>
      <c r="J58" s="281" t="s">
        <v>692</v>
      </c>
      <c r="K58" s="268" t="s">
        <v>693</v>
      </c>
      <c r="L58" s="99">
        <v>45761</v>
      </c>
      <c r="M58" s="244">
        <v>59</v>
      </c>
      <c r="N58" s="92"/>
      <c r="O58" s="162">
        <v>59</v>
      </c>
      <c r="P58" s="99">
        <v>45792</v>
      </c>
      <c r="Q58" s="295" t="s">
        <v>694</v>
      </c>
      <c r="R58" s="158" t="s">
        <v>269</v>
      </c>
      <c r="S58" s="61"/>
      <c r="T58" s="344"/>
      <c r="U58" s="69"/>
      <c r="V58" s="53"/>
      <c r="W58" s="53"/>
      <c r="X58" s="230"/>
      <c r="Y58" s="267"/>
      <c r="Z58" s="155"/>
    </row>
    <row r="59" s="40" customFormat="1" ht="26.25" customHeight="1" spans="1:26">
      <c r="A59" s="90" t="s">
        <v>27</v>
      </c>
      <c r="B59" s="53" t="s">
        <v>247</v>
      </c>
      <c r="C59" s="79" t="s">
        <v>695</v>
      </c>
      <c r="D59" s="90" t="s">
        <v>33</v>
      </c>
      <c r="E59" s="90"/>
      <c r="F59" s="90"/>
      <c r="G59" s="53" t="s">
        <v>283</v>
      </c>
      <c r="H59" s="273" t="s">
        <v>32</v>
      </c>
      <c r="I59" s="270" t="s">
        <v>269</v>
      </c>
      <c r="J59" s="236" t="s">
        <v>696</v>
      </c>
      <c r="K59" s="236" t="s">
        <v>697</v>
      </c>
      <c r="L59" s="80">
        <v>45754</v>
      </c>
      <c r="M59" s="79">
        <v>600</v>
      </c>
      <c r="N59" s="81"/>
      <c r="O59" s="271">
        <v>600</v>
      </c>
      <c r="P59" s="80">
        <v>45792</v>
      </c>
      <c r="Q59" s="272" t="s">
        <v>698</v>
      </c>
      <c r="R59" s="158" t="s">
        <v>269</v>
      </c>
      <c r="S59" s="61"/>
      <c r="T59" s="233"/>
      <c r="U59" s="69"/>
      <c r="V59" s="137"/>
      <c r="W59" s="137"/>
      <c r="X59" s="265"/>
      <c r="Y59" s="230"/>
      <c r="Z59" s="155"/>
    </row>
    <row r="60" ht="26.25" customHeight="1" spans="1:26">
      <c r="A60" s="90" t="s">
        <v>205</v>
      </c>
      <c r="B60" s="88" t="s">
        <v>247</v>
      </c>
      <c r="C60" s="79" t="s">
        <v>699</v>
      </c>
      <c r="D60" s="90" t="s">
        <v>700</v>
      </c>
      <c r="E60" s="90"/>
      <c r="F60" s="90"/>
      <c r="G60" s="88" t="s">
        <v>247</v>
      </c>
      <c r="H60" s="273" t="s">
        <v>701</v>
      </c>
      <c r="I60" s="270" t="s">
        <v>534</v>
      </c>
      <c r="J60" s="236" t="s">
        <v>702</v>
      </c>
      <c r="K60" s="236" t="s">
        <v>703</v>
      </c>
      <c r="L60" s="80">
        <v>45763</v>
      </c>
      <c r="M60" s="238">
        <v>78</v>
      </c>
      <c r="N60" s="81"/>
      <c r="O60" s="345">
        <v>78</v>
      </c>
      <c r="P60" s="61">
        <v>45792</v>
      </c>
      <c r="Q60" s="275"/>
      <c r="R60" s="158" t="s">
        <v>269</v>
      </c>
      <c r="S60" s="99"/>
      <c r="T60" s="346"/>
      <c r="U60" s="306"/>
      <c r="V60" s="312"/>
      <c r="W60" s="312"/>
      <c r="X60" s="347"/>
      <c r="Y60" s="319"/>
      <c r="Z60" s="155"/>
    </row>
    <row r="61" ht="26.25" customHeight="1" spans="1:26">
      <c r="A61" s="90" t="s">
        <v>122</v>
      </c>
      <c r="B61" s="88" t="s">
        <v>247</v>
      </c>
      <c r="C61" s="79" t="s">
        <v>704</v>
      </c>
      <c r="D61" s="90" t="s">
        <v>674</v>
      </c>
      <c r="E61" s="90"/>
      <c r="F61" s="90"/>
      <c r="G61" s="88" t="s">
        <v>283</v>
      </c>
      <c r="H61" s="273" t="s">
        <v>675</v>
      </c>
      <c r="I61" s="270" t="s">
        <v>269</v>
      </c>
      <c r="J61" s="348" t="s">
        <v>705</v>
      </c>
      <c r="K61" s="236" t="s">
        <v>706</v>
      </c>
      <c r="L61" s="80">
        <v>45750</v>
      </c>
      <c r="M61" s="238">
        <v>340</v>
      </c>
      <c r="N61" s="81"/>
      <c r="O61" s="345">
        <v>340</v>
      </c>
      <c r="P61" s="61">
        <v>45792</v>
      </c>
      <c r="Q61" s="228"/>
      <c r="R61" s="158" t="s">
        <v>511</v>
      </c>
      <c r="S61" s="99">
        <v>45768</v>
      </c>
      <c r="T61" s="321"/>
      <c r="U61" s="306"/>
      <c r="V61" s="312"/>
      <c r="W61" s="312"/>
      <c r="X61" s="347"/>
      <c r="Y61" s="319"/>
      <c r="Z61" s="155"/>
    </row>
    <row r="62" ht="26.25" customHeight="1" spans="1:26">
      <c r="A62" s="40" t="s">
        <v>419</v>
      </c>
      <c r="B62" s="53" t="s">
        <v>247</v>
      </c>
      <c r="C62" s="52" t="s">
        <v>520</v>
      </c>
      <c r="D62" s="40" t="s">
        <v>707</v>
      </c>
      <c r="E62" s="40"/>
      <c r="F62" s="40"/>
      <c r="G62" s="53" t="s">
        <v>247</v>
      </c>
      <c r="H62" s="103" t="s">
        <v>422</v>
      </c>
      <c r="I62" s="158" t="s">
        <v>321</v>
      </c>
      <c r="J62" s="232" t="s">
        <v>708</v>
      </c>
      <c r="K62" s="227" t="s">
        <v>524</v>
      </c>
      <c r="L62" s="61">
        <v>45763</v>
      </c>
      <c r="M62" s="52">
        <v>440</v>
      </c>
      <c r="N62" s="62">
        <v>2</v>
      </c>
      <c r="O62" s="82">
        <f>M62-N62</f>
        <v>438</v>
      </c>
      <c r="P62" s="61">
        <v>45792</v>
      </c>
      <c r="Q62" s="314" t="s">
        <v>709</v>
      </c>
      <c r="R62" s="158" t="s">
        <v>511</v>
      </c>
      <c r="S62" s="61"/>
      <c r="T62" s="349"/>
      <c r="U62" s="69"/>
      <c r="V62" s="53"/>
      <c r="W62" s="53"/>
      <c r="X62" s="230"/>
      <c r="Y62" s="234"/>
      <c r="Z62" s="155"/>
    </row>
    <row r="63" ht="26.25" customHeight="1" spans="1:26">
      <c r="A63" s="45" t="s">
        <v>419</v>
      </c>
      <c r="B63" s="54" t="s">
        <v>247</v>
      </c>
      <c r="C63" s="100" t="s">
        <v>520</v>
      </c>
      <c r="D63" s="45" t="s">
        <v>710</v>
      </c>
      <c r="E63" s="45"/>
      <c r="F63" s="45"/>
      <c r="G63" s="54" t="s">
        <v>247</v>
      </c>
      <c r="H63" s="160" t="s">
        <v>428</v>
      </c>
      <c r="I63" s="154"/>
      <c r="J63" s="281" t="s">
        <v>523</v>
      </c>
      <c r="K63" s="243" t="s">
        <v>524</v>
      </c>
      <c r="L63" s="99">
        <v>45763</v>
      </c>
      <c r="M63" s="100">
        <v>450</v>
      </c>
      <c r="N63" s="92"/>
      <c r="O63" s="151">
        <v>450</v>
      </c>
      <c r="P63" s="61">
        <v>45792</v>
      </c>
      <c r="Q63" s="272"/>
      <c r="R63" s="158" t="s">
        <v>511</v>
      </c>
      <c r="S63" s="61"/>
      <c r="T63" s="315"/>
      <c r="U63" s="69"/>
      <c r="V63" s="53"/>
      <c r="W63" s="53"/>
      <c r="X63" s="230"/>
      <c r="Y63" s="239"/>
      <c r="Z63" s="155"/>
    </row>
    <row r="64" s="40" customFormat="1" ht="26.25" customHeight="1" spans="1:26">
      <c r="A64" s="40" t="s">
        <v>711</v>
      </c>
      <c r="B64" s="53" t="s">
        <v>247</v>
      </c>
      <c r="C64" s="52" t="s">
        <v>712</v>
      </c>
      <c r="D64" s="40" t="s">
        <v>713</v>
      </c>
      <c r="E64" s="40"/>
      <c r="F64" s="40"/>
      <c r="G64" s="53" t="s">
        <v>283</v>
      </c>
      <c r="H64" s="103" t="s">
        <v>460</v>
      </c>
      <c r="I64" s="158" t="s">
        <v>269</v>
      </c>
      <c r="J64" s="350" t="s">
        <v>714</v>
      </c>
      <c r="K64" s="227" t="s">
        <v>715</v>
      </c>
      <c r="L64" s="61">
        <v>45763</v>
      </c>
      <c r="M64" s="52">
        <v>200</v>
      </c>
      <c r="N64" s="62"/>
      <c r="O64" s="63">
        <v>200</v>
      </c>
      <c r="P64" s="99">
        <v>45793</v>
      </c>
      <c r="Q64" s="314"/>
      <c r="R64" s="158" t="s">
        <v>269</v>
      </c>
      <c r="S64" s="61"/>
      <c r="T64" s="84"/>
      <c r="U64" s="285"/>
      <c r="V64" s="54"/>
      <c r="W64" s="54"/>
      <c r="X64" s="287"/>
      <c r="Y64" s="230"/>
      <c r="Z64" s="155"/>
    </row>
    <row r="65" s="40" customFormat="1" ht="26.25" customHeight="1" spans="1:26">
      <c r="A65" s="45" t="s">
        <v>399</v>
      </c>
      <c r="B65" s="53" t="s">
        <v>247</v>
      </c>
      <c r="C65" s="100" t="s">
        <v>716</v>
      </c>
      <c r="D65" s="49" t="s">
        <v>717</v>
      </c>
      <c r="E65" s="49"/>
      <c r="F65" s="49"/>
      <c r="G65" s="53" t="s">
        <v>283</v>
      </c>
      <c r="H65" s="300" t="s">
        <v>402</v>
      </c>
      <c r="I65" s="301"/>
      <c r="J65" s="299" t="s">
        <v>718</v>
      </c>
      <c r="K65" s="299" t="s">
        <v>719</v>
      </c>
      <c r="L65" s="303">
        <v>45763</v>
      </c>
      <c r="M65" s="298">
        <v>300</v>
      </c>
      <c r="N65" s="304"/>
      <c r="O65" s="335">
        <v>300</v>
      </c>
      <c r="P65" s="303">
        <v>45793</v>
      </c>
      <c r="Q65" s="295"/>
      <c r="R65" s="158" t="s">
        <v>511</v>
      </c>
      <c r="S65" s="61"/>
      <c r="T65" s="84"/>
      <c r="U65" s="69"/>
      <c r="V65" s="53"/>
      <c r="W65" s="53"/>
      <c r="X65" s="230"/>
      <c r="Y65" s="230"/>
      <c r="Z65" s="155"/>
    </row>
    <row r="66" s="40" customFormat="1" ht="26.25" customHeight="1" spans="1:26">
      <c r="A66" s="40" t="s">
        <v>504</v>
      </c>
      <c r="B66" s="53" t="s">
        <v>247</v>
      </c>
      <c r="C66" s="351" t="s">
        <v>720</v>
      </c>
      <c r="D66" s="40" t="s">
        <v>721</v>
      </c>
      <c r="E66" s="40"/>
      <c r="F66" s="40"/>
      <c r="G66" s="53" t="s">
        <v>247</v>
      </c>
      <c r="H66" s="103" t="s">
        <v>507</v>
      </c>
      <c r="I66" s="158" t="s">
        <v>264</v>
      </c>
      <c r="J66" s="227" t="s">
        <v>722</v>
      </c>
      <c r="K66" s="227" t="s">
        <v>723</v>
      </c>
      <c r="L66" s="61">
        <v>45764</v>
      </c>
      <c r="M66" s="52">
        <v>20</v>
      </c>
      <c r="N66" s="62"/>
      <c r="O66" s="63">
        <v>20</v>
      </c>
      <c r="P66" s="61">
        <v>45794</v>
      </c>
      <c r="Q66" s="318"/>
      <c r="R66" s="270" t="s">
        <v>269</v>
      </c>
      <c r="S66" s="61"/>
      <c r="T66" s="84"/>
      <c r="U66" s="69"/>
      <c r="V66" s="53"/>
      <c r="W66" s="53"/>
      <c r="X66" s="230"/>
      <c r="Y66" s="230"/>
      <c r="Z66" s="155"/>
    </row>
    <row r="67" s="40" customFormat="1" ht="26.25" customHeight="1" spans="1:26">
      <c r="A67" s="45" t="s">
        <v>604</v>
      </c>
      <c r="B67" s="309" t="s">
        <v>247</v>
      </c>
      <c r="C67" s="351" t="s">
        <v>724</v>
      </c>
      <c r="D67" s="40" t="s">
        <v>598</v>
      </c>
      <c r="E67" s="40"/>
      <c r="F67" s="40"/>
      <c r="G67" s="53" t="s">
        <v>283</v>
      </c>
      <c r="H67" s="103" t="s">
        <v>725</v>
      </c>
      <c r="I67" s="158" t="s">
        <v>264</v>
      </c>
      <c r="J67" s="227" t="s">
        <v>726</v>
      </c>
      <c r="K67" s="227" t="s">
        <v>727</v>
      </c>
      <c r="L67" s="61">
        <v>45723</v>
      </c>
      <c r="M67" s="52">
        <v>735</v>
      </c>
      <c r="N67" s="62"/>
      <c r="O67" s="63">
        <v>735</v>
      </c>
      <c r="P67" s="99">
        <v>45794</v>
      </c>
      <c r="Q67" s="318" t="s">
        <v>728</v>
      </c>
      <c r="R67" s="270" t="s">
        <v>269</v>
      </c>
      <c r="S67" s="61"/>
      <c r="T67" s="84" t="s">
        <v>577</v>
      </c>
      <c r="U67" s="69"/>
      <c r="V67" s="53"/>
      <c r="W67" s="53"/>
      <c r="X67" s="230"/>
      <c r="Y67" s="230"/>
      <c r="Z67" s="155">
        <f ca="1" t="shared" ref="Z67:Z78" si="2">A$1-L67</f>
        <v>246</v>
      </c>
    </row>
    <row r="68" s="40" customFormat="1" ht="26.25" customHeight="1" spans="1:26">
      <c r="A68" s="90" t="s">
        <v>604</v>
      </c>
      <c r="B68" s="88" t="s">
        <v>247</v>
      </c>
      <c r="C68" s="310" t="s">
        <v>724</v>
      </c>
      <c r="D68" s="90" t="s">
        <v>598</v>
      </c>
      <c r="E68" s="90"/>
      <c r="F68" s="90"/>
      <c r="G68" s="88" t="s">
        <v>283</v>
      </c>
      <c r="H68" s="273" t="s">
        <v>725</v>
      </c>
      <c r="I68" s="270" t="s">
        <v>264</v>
      </c>
      <c r="J68" s="236" t="s">
        <v>729</v>
      </c>
      <c r="K68" s="236" t="s">
        <v>727</v>
      </c>
      <c r="L68" s="80">
        <v>45723</v>
      </c>
      <c r="M68" s="79">
        <v>2</v>
      </c>
      <c r="N68" s="81"/>
      <c r="O68" s="271">
        <v>2</v>
      </c>
      <c r="P68" s="80">
        <v>45794</v>
      </c>
      <c r="Q68" s="295" t="s">
        <v>728</v>
      </c>
      <c r="R68" s="112" t="s">
        <v>269</v>
      </c>
      <c r="S68" s="61"/>
      <c r="T68" s="84" t="s">
        <v>577</v>
      </c>
      <c r="U68" s="69"/>
      <c r="V68" s="53"/>
      <c r="W68" s="53"/>
      <c r="X68" s="230"/>
      <c r="Y68" s="230"/>
      <c r="Z68" s="155">
        <f ca="1" t="shared" si="2"/>
        <v>246</v>
      </c>
    </row>
    <row r="69" s="40" customFormat="1" ht="26.25" customHeight="1" spans="1:26">
      <c r="A69" s="40" t="s">
        <v>604</v>
      </c>
      <c r="B69" s="53" t="s">
        <v>247</v>
      </c>
      <c r="C69" s="52" t="s">
        <v>724</v>
      </c>
      <c r="D69" s="40" t="s">
        <v>598</v>
      </c>
      <c r="E69" s="40"/>
      <c r="F69" s="40"/>
      <c r="G69" s="53" t="s">
        <v>283</v>
      </c>
      <c r="H69" s="103" t="s">
        <v>725</v>
      </c>
      <c r="I69" s="158" t="s">
        <v>264</v>
      </c>
      <c r="J69" s="227" t="s">
        <v>730</v>
      </c>
      <c r="K69" s="227" t="s">
        <v>727</v>
      </c>
      <c r="L69" s="61">
        <v>45723</v>
      </c>
      <c r="M69" s="52">
        <v>459</v>
      </c>
      <c r="N69" s="62"/>
      <c r="O69" s="63">
        <v>459</v>
      </c>
      <c r="P69" s="61">
        <v>45794</v>
      </c>
      <c r="Q69" s="295" t="s">
        <v>731</v>
      </c>
      <c r="R69" s="270" t="s">
        <v>269</v>
      </c>
      <c r="S69" s="61"/>
      <c r="T69" s="84" t="s">
        <v>577</v>
      </c>
      <c r="U69" s="69"/>
      <c r="V69" s="53"/>
      <c r="W69" s="53"/>
      <c r="X69" s="230"/>
      <c r="Y69" s="230"/>
      <c r="Z69" s="155">
        <f ca="1" t="shared" si="2"/>
        <v>246</v>
      </c>
    </row>
    <row r="70" s="40" customFormat="1" ht="26.25" customHeight="1" spans="1:26">
      <c r="A70" s="45" t="s">
        <v>604</v>
      </c>
      <c r="B70" s="54" t="s">
        <v>247</v>
      </c>
      <c r="C70" s="100" t="s">
        <v>724</v>
      </c>
      <c r="D70" s="45" t="s">
        <v>598</v>
      </c>
      <c r="E70" s="45"/>
      <c r="F70" s="45"/>
      <c r="G70" s="54" t="s">
        <v>283</v>
      </c>
      <c r="H70" s="160" t="s">
        <v>725</v>
      </c>
      <c r="I70" s="154" t="s">
        <v>264</v>
      </c>
      <c r="J70" s="243" t="s">
        <v>732</v>
      </c>
      <c r="K70" s="243" t="s">
        <v>727</v>
      </c>
      <c r="L70" s="99">
        <v>45723</v>
      </c>
      <c r="M70" s="100">
        <v>1</v>
      </c>
      <c r="N70" s="92"/>
      <c r="O70" s="151">
        <v>1</v>
      </c>
      <c r="P70" s="99">
        <v>45794</v>
      </c>
      <c r="Q70" s="272" t="s">
        <v>731</v>
      </c>
      <c r="R70" s="158" t="s">
        <v>269</v>
      </c>
      <c r="S70" s="61"/>
      <c r="T70" s="233" t="s">
        <v>577</v>
      </c>
      <c r="U70" s="69"/>
      <c r="V70" s="55"/>
      <c r="W70" s="53"/>
      <c r="X70" s="230"/>
      <c r="Y70" s="230"/>
      <c r="Z70" s="155">
        <f ca="1" t="shared" si="2"/>
        <v>246</v>
      </c>
    </row>
    <row r="71" s="40" customFormat="1" ht="26.25" customHeight="1" spans="1:26">
      <c r="A71" s="49" t="s">
        <v>604</v>
      </c>
      <c r="B71" s="309" t="s">
        <v>247</v>
      </c>
      <c r="C71" s="310" t="s">
        <v>733</v>
      </c>
      <c r="D71" s="49" t="s">
        <v>598</v>
      </c>
      <c r="E71" s="49"/>
      <c r="F71" s="49"/>
      <c r="G71" s="309" t="s">
        <v>283</v>
      </c>
      <c r="H71" s="300" t="s">
        <v>725</v>
      </c>
      <c r="I71" s="301" t="s">
        <v>264</v>
      </c>
      <c r="J71" s="236" t="s">
        <v>734</v>
      </c>
      <c r="K71" s="236" t="s">
        <v>735</v>
      </c>
      <c r="L71" s="80">
        <v>45723</v>
      </c>
      <c r="M71" s="79">
        <v>399</v>
      </c>
      <c r="N71" s="81"/>
      <c r="O71" s="123">
        <v>399</v>
      </c>
      <c r="P71" s="61">
        <v>45794</v>
      </c>
      <c r="Q71" s="314" t="s">
        <v>736</v>
      </c>
      <c r="R71" s="301" t="s">
        <v>269</v>
      </c>
      <c r="S71" s="61"/>
      <c r="T71" s="233" t="s">
        <v>577</v>
      </c>
      <c r="U71" s="69"/>
      <c r="V71" s="229"/>
      <c r="W71" s="137"/>
      <c r="X71" s="230"/>
      <c r="Y71" s="230"/>
      <c r="Z71" s="155">
        <f ca="1" t="shared" si="2"/>
        <v>246</v>
      </c>
    </row>
    <row r="72" s="40" customFormat="1" ht="26.25" customHeight="1" spans="1:26">
      <c r="A72" s="90" t="s">
        <v>604</v>
      </c>
      <c r="B72" s="88" t="s">
        <v>247</v>
      </c>
      <c r="C72" s="79" t="s">
        <v>733</v>
      </c>
      <c r="D72" s="90" t="s">
        <v>598</v>
      </c>
      <c r="E72" s="90"/>
      <c r="F72" s="90"/>
      <c r="G72" s="88" t="s">
        <v>283</v>
      </c>
      <c r="H72" s="273" t="s">
        <v>725</v>
      </c>
      <c r="I72" s="270" t="s">
        <v>264</v>
      </c>
      <c r="J72" s="236" t="s">
        <v>737</v>
      </c>
      <c r="K72" s="236" t="s">
        <v>735</v>
      </c>
      <c r="L72" s="80">
        <v>45723</v>
      </c>
      <c r="M72" s="79">
        <v>1</v>
      </c>
      <c r="N72" s="81"/>
      <c r="O72" s="271">
        <v>1</v>
      </c>
      <c r="P72" s="303">
        <v>45794</v>
      </c>
      <c r="Q72" s="272" t="s">
        <v>736</v>
      </c>
      <c r="R72" s="270" t="s">
        <v>269</v>
      </c>
      <c r="S72" s="61"/>
      <c r="T72" s="233" t="s">
        <v>577</v>
      </c>
      <c r="U72" s="69"/>
      <c r="V72" s="229"/>
      <c r="W72" s="137"/>
      <c r="X72" s="230"/>
      <c r="Y72" s="230"/>
      <c r="Z72" s="155">
        <f ca="1" t="shared" si="2"/>
        <v>246</v>
      </c>
    </row>
    <row r="73" s="40" customFormat="1" ht="26.25" customHeight="1" spans="1:26">
      <c r="A73" s="40" t="s">
        <v>604</v>
      </c>
      <c r="B73" s="53" t="s">
        <v>247</v>
      </c>
      <c r="C73" s="52" t="s">
        <v>733</v>
      </c>
      <c r="D73" s="40" t="s">
        <v>598</v>
      </c>
      <c r="E73" s="40"/>
      <c r="F73" s="40"/>
      <c r="G73" s="53" t="s">
        <v>283</v>
      </c>
      <c r="H73" s="103" t="s">
        <v>725</v>
      </c>
      <c r="I73" s="158" t="s">
        <v>264</v>
      </c>
      <c r="J73" s="227" t="s">
        <v>738</v>
      </c>
      <c r="K73" s="227" t="s">
        <v>735</v>
      </c>
      <c r="L73" s="61">
        <v>45723</v>
      </c>
      <c r="M73" s="52">
        <v>644</v>
      </c>
      <c r="N73" s="62"/>
      <c r="O73" s="63">
        <v>644</v>
      </c>
      <c r="P73" s="61">
        <v>45794</v>
      </c>
      <c r="Q73" s="284" t="s">
        <v>739</v>
      </c>
      <c r="R73" s="270" t="s">
        <v>269</v>
      </c>
      <c r="S73" s="61"/>
      <c r="T73" s="84" t="s">
        <v>577</v>
      </c>
      <c r="U73" s="69"/>
      <c r="V73" s="137"/>
      <c r="W73" s="137"/>
      <c r="X73" s="230"/>
      <c r="Y73" s="230"/>
      <c r="Z73" s="155">
        <f ca="1" t="shared" si="2"/>
        <v>246</v>
      </c>
    </row>
    <row r="74" s="40" customFormat="1" ht="26.25" customHeight="1" spans="1:26">
      <c r="A74" s="40" t="s">
        <v>604</v>
      </c>
      <c r="B74" s="53" t="s">
        <v>247</v>
      </c>
      <c r="C74" s="52" t="s">
        <v>733</v>
      </c>
      <c r="D74" s="40" t="s">
        <v>598</v>
      </c>
      <c r="E74" s="40"/>
      <c r="F74" s="40"/>
      <c r="G74" s="53" t="s">
        <v>283</v>
      </c>
      <c r="H74" s="103" t="s">
        <v>725</v>
      </c>
      <c r="I74" s="158" t="s">
        <v>264</v>
      </c>
      <c r="J74" s="227" t="s">
        <v>740</v>
      </c>
      <c r="K74" s="227" t="s">
        <v>735</v>
      </c>
      <c r="L74" s="61">
        <v>45723</v>
      </c>
      <c r="M74" s="52">
        <v>2</v>
      </c>
      <c r="N74" s="62"/>
      <c r="O74" s="63">
        <v>2</v>
      </c>
      <c r="P74" s="80">
        <v>45794</v>
      </c>
      <c r="Q74" s="305" t="s">
        <v>739</v>
      </c>
      <c r="R74" s="270" t="s">
        <v>269</v>
      </c>
      <c r="S74" s="61"/>
      <c r="T74" s="84" t="s">
        <v>577</v>
      </c>
      <c r="U74" s="69"/>
      <c r="V74" s="137"/>
      <c r="W74" s="137"/>
      <c r="X74" s="230"/>
      <c r="Y74" s="230"/>
      <c r="Z74" s="155">
        <f ca="1" t="shared" si="2"/>
        <v>246</v>
      </c>
    </row>
    <row r="75" s="40" customFormat="1" ht="26.25" customHeight="1" spans="1:26">
      <c r="A75" s="40" t="s">
        <v>604</v>
      </c>
      <c r="B75" s="53" t="s">
        <v>247</v>
      </c>
      <c r="C75" s="52" t="s">
        <v>724</v>
      </c>
      <c r="D75" s="40" t="s">
        <v>598</v>
      </c>
      <c r="E75" s="40"/>
      <c r="F75" s="40"/>
      <c r="G75" s="54" t="s">
        <v>283</v>
      </c>
      <c r="H75" s="103" t="s">
        <v>725</v>
      </c>
      <c r="I75" s="158" t="s">
        <v>264</v>
      </c>
      <c r="J75" s="227" t="s">
        <v>741</v>
      </c>
      <c r="K75" s="227" t="s">
        <v>727</v>
      </c>
      <c r="L75" s="61">
        <v>45723</v>
      </c>
      <c r="M75" s="52">
        <v>591</v>
      </c>
      <c r="N75" s="62"/>
      <c r="O75" s="63">
        <v>591</v>
      </c>
      <c r="P75" s="80">
        <v>45794</v>
      </c>
      <c r="Q75" s="305" t="s">
        <v>742</v>
      </c>
      <c r="R75" s="270" t="s">
        <v>269</v>
      </c>
      <c r="S75" s="61"/>
      <c r="T75" s="84" t="s">
        <v>577</v>
      </c>
      <c r="U75" s="69"/>
      <c r="V75" s="137"/>
      <c r="W75" s="137"/>
      <c r="X75" s="230"/>
      <c r="Y75" s="230"/>
      <c r="Z75" s="155">
        <f ca="1" t="shared" si="2"/>
        <v>246</v>
      </c>
    </row>
    <row r="76" s="40" customFormat="1" ht="26.25" customHeight="1" spans="1:26">
      <c r="A76" s="40" t="s">
        <v>604</v>
      </c>
      <c r="B76" s="54" t="s">
        <v>247</v>
      </c>
      <c r="C76" s="52" t="s">
        <v>724</v>
      </c>
      <c r="D76" s="40" t="s">
        <v>598</v>
      </c>
      <c r="E76" s="40"/>
      <c r="F76" s="40"/>
      <c r="G76" s="54" t="s">
        <v>283</v>
      </c>
      <c r="H76" s="103" t="s">
        <v>725</v>
      </c>
      <c r="I76" s="158" t="s">
        <v>264</v>
      </c>
      <c r="J76" s="227" t="s">
        <v>743</v>
      </c>
      <c r="K76" s="227" t="s">
        <v>727</v>
      </c>
      <c r="L76" s="61">
        <v>45723</v>
      </c>
      <c r="M76" s="52">
        <v>2</v>
      </c>
      <c r="N76" s="62"/>
      <c r="O76" s="63">
        <v>2</v>
      </c>
      <c r="P76" s="61">
        <v>45794</v>
      </c>
      <c r="Q76" s="272" t="s">
        <v>742</v>
      </c>
      <c r="R76" s="270" t="s">
        <v>269</v>
      </c>
      <c r="S76" s="61"/>
      <c r="T76" s="84" t="s">
        <v>577</v>
      </c>
      <c r="U76" s="69"/>
      <c r="V76" s="137"/>
      <c r="W76" s="137"/>
      <c r="X76" s="230"/>
      <c r="Y76" s="230"/>
      <c r="Z76" s="155">
        <f ca="1" t="shared" si="2"/>
        <v>246</v>
      </c>
    </row>
    <row r="77" s="40" customFormat="1" ht="26.25" customHeight="1" spans="1:26">
      <c r="A77" s="40" t="s">
        <v>604</v>
      </c>
      <c r="B77" s="53" t="s">
        <v>247</v>
      </c>
      <c r="C77" s="52" t="s">
        <v>724</v>
      </c>
      <c r="D77" s="40" t="s">
        <v>598</v>
      </c>
      <c r="E77" s="40"/>
      <c r="F77" s="40"/>
      <c r="G77" s="53" t="s">
        <v>283</v>
      </c>
      <c r="H77" s="103" t="s">
        <v>725</v>
      </c>
      <c r="I77" s="158" t="s">
        <v>264</v>
      </c>
      <c r="J77" s="227" t="s">
        <v>744</v>
      </c>
      <c r="K77" s="227" t="s">
        <v>727</v>
      </c>
      <c r="L77" s="61">
        <v>45723</v>
      </c>
      <c r="M77" s="52">
        <v>573</v>
      </c>
      <c r="N77" s="62"/>
      <c r="O77" s="63">
        <v>573</v>
      </c>
      <c r="P77" s="99">
        <v>45794</v>
      </c>
      <c r="Q77" s="284" t="s">
        <v>745</v>
      </c>
      <c r="R77" s="270" t="s">
        <v>269</v>
      </c>
      <c r="S77" s="61"/>
      <c r="T77" s="84" t="s">
        <v>577</v>
      </c>
      <c r="U77" s="69"/>
      <c r="V77" s="137"/>
      <c r="W77" s="137"/>
      <c r="X77" s="230"/>
      <c r="Y77" s="230"/>
      <c r="Z77" s="155">
        <f ca="1" t="shared" si="2"/>
        <v>246</v>
      </c>
    </row>
    <row r="78" s="40" customFormat="1" ht="26.25" customHeight="1" spans="1:26">
      <c r="A78" s="45" t="s">
        <v>604</v>
      </c>
      <c r="B78" s="54" t="s">
        <v>247</v>
      </c>
      <c r="C78" s="100" t="s">
        <v>724</v>
      </c>
      <c r="D78" s="45" t="s">
        <v>598</v>
      </c>
      <c r="E78" s="45"/>
      <c r="F78" s="45"/>
      <c r="G78" s="54" t="s">
        <v>283</v>
      </c>
      <c r="H78" s="160" t="s">
        <v>725</v>
      </c>
      <c r="I78" s="154" t="s">
        <v>264</v>
      </c>
      <c r="J78" s="243" t="s">
        <v>746</v>
      </c>
      <c r="K78" s="243" t="s">
        <v>727</v>
      </c>
      <c r="L78" s="99">
        <v>45723</v>
      </c>
      <c r="M78" s="100">
        <v>1</v>
      </c>
      <c r="N78" s="92"/>
      <c r="O78" s="162">
        <v>1</v>
      </c>
      <c r="P78" s="99">
        <v>45794</v>
      </c>
      <c r="Q78" s="284" t="s">
        <v>745</v>
      </c>
      <c r="R78" s="270" t="s">
        <v>269</v>
      </c>
      <c r="S78" s="61"/>
      <c r="T78" s="84" t="s">
        <v>577</v>
      </c>
      <c r="U78" s="69"/>
      <c r="V78" s="137"/>
      <c r="W78" s="137"/>
      <c r="X78" s="230"/>
      <c r="Y78" s="230"/>
      <c r="Z78" s="155">
        <f ca="1" t="shared" si="2"/>
        <v>246</v>
      </c>
    </row>
    <row r="79" s="40" customFormat="1" ht="26.25" customHeight="1" spans="1:26">
      <c r="A79" s="45" t="s">
        <v>325</v>
      </c>
      <c r="B79" s="54" t="s">
        <v>247</v>
      </c>
      <c r="C79" s="100" t="s">
        <v>631</v>
      </c>
      <c r="D79" s="45" t="s">
        <v>747</v>
      </c>
      <c r="E79" s="45"/>
      <c r="F79" s="45"/>
      <c r="G79" s="54" t="s">
        <v>283</v>
      </c>
      <c r="H79" s="160" t="s">
        <v>748</v>
      </c>
      <c r="I79" s="154" t="s">
        <v>269</v>
      </c>
      <c r="J79" s="243" t="s">
        <v>749</v>
      </c>
      <c r="K79" s="243" t="s">
        <v>635</v>
      </c>
      <c r="L79" s="99">
        <v>45747</v>
      </c>
      <c r="M79" s="100">
        <v>200</v>
      </c>
      <c r="N79" s="92"/>
      <c r="O79" s="162">
        <v>200</v>
      </c>
      <c r="P79" s="99">
        <v>45796</v>
      </c>
      <c r="Q79" s="284" t="s">
        <v>750</v>
      </c>
      <c r="R79" s="158" t="s">
        <v>511</v>
      </c>
      <c r="S79" s="61">
        <v>45768</v>
      </c>
      <c r="T79" s="84"/>
      <c r="U79" s="69"/>
      <c r="V79" s="137"/>
      <c r="W79" s="137"/>
      <c r="X79" s="230"/>
      <c r="Y79" s="230"/>
      <c r="Z79" s="155"/>
    </row>
    <row r="80" s="40" customFormat="1" ht="26.25" customHeight="1" spans="1:26">
      <c r="A80" s="40" t="s">
        <v>325</v>
      </c>
      <c r="B80" s="54" t="s">
        <v>247</v>
      </c>
      <c r="C80" s="52" t="s">
        <v>751</v>
      </c>
      <c r="D80" s="40" t="s">
        <v>747</v>
      </c>
      <c r="E80" s="40"/>
      <c r="F80" s="40"/>
      <c r="G80" s="54" t="s">
        <v>283</v>
      </c>
      <c r="H80" s="160" t="s">
        <v>748</v>
      </c>
      <c r="I80" s="154" t="s">
        <v>269</v>
      </c>
      <c r="J80" s="243" t="s">
        <v>752</v>
      </c>
      <c r="K80" s="243" t="s">
        <v>753</v>
      </c>
      <c r="L80" s="99">
        <v>45755</v>
      </c>
      <c r="M80" s="244">
        <v>300</v>
      </c>
      <c r="N80" s="92"/>
      <c r="O80" s="245">
        <v>300</v>
      </c>
      <c r="P80" s="99">
        <v>45796</v>
      </c>
      <c r="Q80" s="272" t="s">
        <v>754</v>
      </c>
      <c r="R80" s="154" t="s">
        <v>511</v>
      </c>
      <c r="S80" s="61" t="s">
        <v>625</v>
      </c>
      <c r="T80" s="84"/>
      <c r="U80" s="69"/>
      <c r="V80" s="137"/>
      <c r="W80" s="137"/>
      <c r="X80" s="230"/>
      <c r="Y80" s="230"/>
      <c r="Z80" s="155"/>
    </row>
    <row r="81" s="40" customFormat="1" ht="26.25" customHeight="1" spans="1:26">
      <c r="A81" s="40" t="s">
        <v>325</v>
      </c>
      <c r="B81" s="54" t="s">
        <v>247</v>
      </c>
      <c r="C81" s="52" t="s">
        <v>755</v>
      </c>
      <c r="D81" s="40" t="s">
        <v>747</v>
      </c>
      <c r="E81" s="40"/>
      <c r="F81" s="40"/>
      <c r="G81" s="54" t="s">
        <v>283</v>
      </c>
      <c r="H81" s="160" t="s">
        <v>748</v>
      </c>
      <c r="I81" s="154" t="s">
        <v>269</v>
      </c>
      <c r="J81" s="243" t="s">
        <v>756</v>
      </c>
      <c r="K81" s="243" t="s">
        <v>757</v>
      </c>
      <c r="L81" s="99">
        <v>45750</v>
      </c>
      <c r="M81" s="244">
        <v>30</v>
      </c>
      <c r="N81" s="92"/>
      <c r="O81" s="245">
        <v>30</v>
      </c>
      <c r="P81" s="99">
        <v>45796</v>
      </c>
      <c r="Q81" s="284" t="s">
        <v>754</v>
      </c>
      <c r="R81" s="154" t="s">
        <v>511</v>
      </c>
      <c r="S81" s="61">
        <v>45768</v>
      </c>
      <c r="T81" s="84"/>
      <c r="U81" s="69"/>
      <c r="V81" s="137"/>
      <c r="W81" s="137"/>
      <c r="X81" s="230"/>
      <c r="Y81" s="230"/>
      <c r="Z81" s="155"/>
    </row>
    <row r="82" s="40" customFormat="1" ht="26.25" customHeight="1" spans="1:26">
      <c r="A82" s="115" t="s">
        <v>325</v>
      </c>
      <c r="B82" s="137" t="s">
        <v>247</v>
      </c>
      <c r="C82" s="157" t="s">
        <v>758</v>
      </c>
      <c r="D82" s="265" t="s">
        <v>759</v>
      </c>
      <c r="E82" s="115"/>
      <c r="F82" s="115"/>
      <c r="G82" s="244" t="s">
        <v>283</v>
      </c>
      <c r="H82" s="328" t="s">
        <v>57</v>
      </c>
      <c r="I82" s="154" t="s">
        <v>264</v>
      </c>
      <c r="J82" s="328" t="s">
        <v>760</v>
      </c>
      <c r="K82" s="282" t="s">
        <v>761</v>
      </c>
      <c r="L82" s="283">
        <v>45758</v>
      </c>
      <c r="M82" s="152">
        <v>4</v>
      </c>
      <c r="N82" s="92"/>
      <c r="O82" s="162">
        <v>4</v>
      </c>
      <c r="P82" s="283">
        <v>45796</v>
      </c>
      <c r="Q82" s="284"/>
      <c r="R82" s="154" t="s">
        <v>269</v>
      </c>
      <c r="S82" s="277"/>
      <c r="T82" s="84"/>
      <c r="U82" s="69"/>
      <c r="V82" s="137"/>
      <c r="W82" s="137"/>
      <c r="X82" s="230"/>
      <c r="Y82" s="278"/>
      <c r="Z82" s="155"/>
    </row>
    <row r="83" s="40" customFormat="1" ht="26.25" customHeight="1" spans="1:26">
      <c r="A83" s="40" t="s">
        <v>27</v>
      </c>
      <c r="B83" s="53" t="s">
        <v>247</v>
      </c>
      <c r="C83" s="52" t="s">
        <v>762</v>
      </c>
      <c r="D83" s="40" t="s">
        <v>387</v>
      </c>
      <c r="E83" s="40"/>
      <c r="F83" s="40"/>
      <c r="G83" s="54" t="s">
        <v>283</v>
      </c>
      <c r="H83" s="103" t="s">
        <v>388</v>
      </c>
      <c r="I83" s="158" t="s">
        <v>269</v>
      </c>
      <c r="J83" s="227" t="s">
        <v>763</v>
      </c>
      <c r="K83" s="227" t="s">
        <v>764</v>
      </c>
      <c r="L83" s="61">
        <v>45747</v>
      </c>
      <c r="M83" s="52">
        <v>1190</v>
      </c>
      <c r="N83" s="62"/>
      <c r="O83" s="63">
        <v>1190</v>
      </c>
      <c r="P83" s="99">
        <v>45796</v>
      </c>
      <c r="Q83" s="284" t="s">
        <v>765</v>
      </c>
      <c r="R83" s="158" t="s">
        <v>269</v>
      </c>
      <c r="S83" s="61"/>
      <c r="T83" s="84"/>
      <c r="U83" s="69"/>
      <c r="V83" s="137"/>
      <c r="W83" s="137"/>
      <c r="X83" s="230"/>
      <c r="Y83" s="230"/>
      <c r="Z83" s="155"/>
    </row>
    <row r="84" s="40" customFormat="1" ht="26.25" customHeight="1" spans="1:26">
      <c r="A84" s="40" t="s">
        <v>711</v>
      </c>
      <c r="B84" s="53" t="s">
        <v>247</v>
      </c>
      <c r="C84" s="52" t="s">
        <v>766</v>
      </c>
      <c r="D84" s="103" t="s">
        <v>713</v>
      </c>
      <c r="E84" s="40"/>
      <c r="F84" s="40"/>
      <c r="G84" s="54" t="s">
        <v>283</v>
      </c>
      <c r="H84" s="103" t="s">
        <v>460</v>
      </c>
      <c r="I84" s="158" t="s">
        <v>269</v>
      </c>
      <c r="J84" s="352" t="s">
        <v>767</v>
      </c>
      <c r="K84" s="227" t="s">
        <v>768</v>
      </c>
      <c r="L84" s="61">
        <v>45768</v>
      </c>
      <c r="M84" s="52">
        <v>50</v>
      </c>
      <c r="N84" s="62"/>
      <c r="O84" s="63">
        <v>50</v>
      </c>
      <c r="P84" s="61">
        <v>45798</v>
      </c>
      <c r="Q84" s="284"/>
      <c r="R84" s="158"/>
      <c r="S84" s="61"/>
      <c r="T84" s="136"/>
      <c r="U84" s="69"/>
      <c r="V84" s="69"/>
      <c r="W84" s="69"/>
      <c r="X84" s="103"/>
      <c r="Y84" s="103"/>
      <c r="Z84" s="155"/>
    </row>
    <row r="85" s="40" customFormat="1" ht="26.25" customHeight="1" spans="1:26">
      <c r="A85" s="40" t="s">
        <v>504</v>
      </c>
      <c r="B85" s="53" t="s">
        <v>247</v>
      </c>
      <c r="C85" s="52" t="s">
        <v>769</v>
      </c>
      <c r="D85" s="40" t="s">
        <v>770</v>
      </c>
      <c r="E85" s="40"/>
      <c r="F85" s="40"/>
      <c r="G85" s="54" t="s">
        <v>283</v>
      </c>
      <c r="H85" s="103" t="s">
        <v>771</v>
      </c>
      <c r="I85" s="154" t="s">
        <v>264</v>
      </c>
      <c r="J85" s="227" t="s">
        <v>722</v>
      </c>
      <c r="K85" s="227" t="s">
        <v>772</v>
      </c>
      <c r="L85" s="61">
        <v>45765</v>
      </c>
      <c r="M85" s="52">
        <v>5</v>
      </c>
      <c r="N85" s="62"/>
      <c r="O85" s="63">
        <v>5</v>
      </c>
      <c r="P85" s="61">
        <v>45799</v>
      </c>
      <c r="Q85" s="272" t="s">
        <v>773</v>
      </c>
      <c r="R85" s="270" t="s">
        <v>511</v>
      </c>
      <c r="S85" s="61" t="s">
        <v>774</v>
      </c>
      <c r="T85" s="84"/>
      <c r="U85" s="69"/>
      <c r="V85" s="53"/>
      <c r="W85" s="53"/>
      <c r="X85" s="230"/>
      <c r="Y85" s="230"/>
      <c r="Z85" s="155"/>
    </row>
    <row r="86" s="40" customFormat="1" ht="26.25" customHeight="1" spans="1:26">
      <c r="A86" s="40" t="s">
        <v>604</v>
      </c>
      <c r="B86" s="53" t="s">
        <v>247</v>
      </c>
      <c r="C86" s="52" t="s">
        <v>775</v>
      </c>
      <c r="D86" s="103" t="s">
        <v>598</v>
      </c>
      <c r="E86" s="40"/>
      <c r="F86" s="40"/>
      <c r="G86" s="53" t="s">
        <v>283</v>
      </c>
      <c r="H86" s="103" t="s">
        <v>599</v>
      </c>
      <c r="I86" s="158" t="s">
        <v>264</v>
      </c>
      <c r="J86" s="353" t="s">
        <v>776</v>
      </c>
      <c r="K86" s="227" t="s">
        <v>777</v>
      </c>
      <c r="L86" s="61">
        <v>45757</v>
      </c>
      <c r="M86" s="52">
        <v>747</v>
      </c>
      <c r="N86" s="62"/>
      <c r="O86" s="63">
        <v>747</v>
      </c>
      <c r="P86" s="61">
        <v>45799</v>
      </c>
      <c r="Q86" s="272"/>
      <c r="R86" s="270"/>
      <c r="S86" s="61"/>
      <c r="T86" s="136" t="s">
        <v>778</v>
      </c>
      <c r="U86" s="69"/>
      <c r="V86" s="69"/>
      <c r="W86" s="69"/>
      <c r="X86" s="103"/>
      <c r="Y86" s="103"/>
      <c r="Z86" s="155"/>
    </row>
    <row r="87" s="40" customFormat="1" ht="26.25" customHeight="1" spans="1:26">
      <c r="A87" s="40" t="s">
        <v>604</v>
      </c>
      <c r="B87" s="54" t="s">
        <v>247</v>
      </c>
      <c r="C87" s="52" t="s">
        <v>775</v>
      </c>
      <c r="D87" s="103" t="s">
        <v>598</v>
      </c>
      <c r="E87" s="40"/>
      <c r="F87" s="40"/>
      <c r="G87" s="54" t="s">
        <v>283</v>
      </c>
      <c r="H87" s="103" t="s">
        <v>599</v>
      </c>
      <c r="I87" s="158" t="s">
        <v>264</v>
      </c>
      <c r="J87" s="353" t="s">
        <v>779</v>
      </c>
      <c r="K87" s="227" t="s">
        <v>777</v>
      </c>
      <c r="L87" s="61">
        <v>45757</v>
      </c>
      <c r="M87" s="52">
        <v>2</v>
      </c>
      <c r="N87" s="62"/>
      <c r="O87" s="63">
        <v>2</v>
      </c>
      <c r="P87" s="61">
        <v>45799</v>
      </c>
      <c r="Q87" s="272"/>
      <c r="R87" s="270"/>
      <c r="S87" s="61"/>
      <c r="T87" s="136" t="s">
        <v>778</v>
      </c>
      <c r="U87" s="69"/>
      <c r="V87" s="69"/>
      <c r="W87" s="69"/>
      <c r="X87" s="103"/>
      <c r="Y87" s="103"/>
      <c r="Z87" s="155"/>
    </row>
    <row r="88" s="40" customFormat="1" ht="26.25" customHeight="1" spans="1:26">
      <c r="A88" s="40" t="s">
        <v>604</v>
      </c>
      <c r="B88" s="54" t="s">
        <v>247</v>
      </c>
      <c r="C88" s="52" t="s">
        <v>775</v>
      </c>
      <c r="D88" s="103" t="s">
        <v>606</v>
      </c>
      <c r="E88" s="40"/>
      <c r="F88" s="40"/>
      <c r="G88" s="54" t="s">
        <v>283</v>
      </c>
      <c r="H88" s="103" t="s">
        <v>494</v>
      </c>
      <c r="I88" s="158"/>
      <c r="J88" s="353" t="s">
        <v>780</v>
      </c>
      <c r="K88" s="227" t="s">
        <v>777</v>
      </c>
      <c r="L88" s="61">
        <v>45757</v>
      </c>
      <c r="M88" s="52">
        <v>1217</v>
      </c>
      <c r="N88" s="62"/>
      <c r="O88" s="63">
        <v>1217</v>
      </c>
      <c r="P88" s="61">
        <v>45799</v>
      </c>
      <c r="Q88" s="272" t="s">
        <v>781</v>
      </c>
      <c r="R88" s="158"/>
      <c r="S88" s="61"/>
      <c r="T88" s="84" t="s">
        <v>499</v>
      </c>
      <c r="U88" s="69" t="s">
        <v>613</v>
      </c>
      <c r="V88" s="69"/>
      <c r="W88" s="69"/>
      <c r="X88" s="265"/>
      <c r="Y88" s="103"/>
      <c r="Z88" s="155"/>
    </row>
    <row r="89" s="40" customFormat="1" ht="26.25" customHeight="1" spans="1:26">
      <c r="A89" s="40" t="s">
        <v>604</v>
      </c>
      <c r="B89" s="54" t="s">
        <v>247</v>
      </c>
      <c r="C89" s="52" t="s">
        <v>775</v>
      </c>
      <c r="D89" s="103" t="s">
        <v>606</v>
      </c>
      <c r="E89" s="40"/>
      <c r="F89" s="40"/>
      <c r="G89" s="54" t="s">
        <v>283</v>
      </c>
      <c r="H89" s="103" t="s">
        <v>494</v>
      </c>
      <c r="I89" s="158"/>
      <c r="J89" s="353" t="s">
        <v>782</v>
      </c>
      <c r="K89" s="227" t="s">
        <v>777</v>
      </c>
      <c r="L89" s="61">
        <v>45757</v>
      </c>
      <c r="M89" s="52">
        <v>3</v>
      </c>
      <c r="N89" s="62"/>
      <c r="O89" s="63">
        <v>3</v>
      </c>
      <c r="P89" s="61">
        <v>45799</v>
      </c>
      <c r="Q89" s="272" t="s">
        <v>781</v>
      </c>
      <c r="R89" s="158"/>
      <c r="S89" s="61"/>
      <c r="T89" s="84" t="s">
        <v>499</v>
      </c>
      <c r="U89" s="69" t="s">
        <v>613</v>
      </c>
      <c r="V89" s="69"/>
      <c r="W89" s="69"/>
      <c r="X89" s="265"/>
      <c r="Y89" s="103"/>
      <c r="Z89" s="155"/>
    </row>
    <row r="90" s="40" customFormat="1" ht="26.25" customHeight="1" spans="1:26">
      <c r="A90" s="247" t="s">
        <v>783</v>
      </c>
      <c r="B90" s="354" t="s">
        <v>247</v>
      </c>
      <c r="C90" s="355" t="s">
        <v>784</v>
      </c>
      <c r="D90" s="356" t="s">
        <v>785</v>
      </c>
      <c r="E90" s="247"/>
      <c r="F90" s="247"/>
      <c r="G90" s="354" t="s">
        <v>283</v>
      </c>
      <c r="H90" s="356" t="s">
        <v>786</v>
      </c>
      <c r="I90" s="257" t="s">
        <v>646</v>
      </c>
      <c r="J90" s="356" t="s">
        <v>787</v>
      </c>
      <c r="K90" s="357" t="s">
        <v>788</v>
      </c>
      <c r="L90" s="258">
        <v>45730</v>
      </c>
      <c r="M90" s="355">
        <v>500</v>
      </c>
      <c r="N90" s="358"/>
      <c r="O90" s="359">
        <v>500</v>
      </c>
      <c r="P90" s="258">
        <v>45804</v>
      </c>
      <c r="Q90" s="360" t="s">
        <v>789</v>
      </c>
      <c r="R90" s="158" t="s">
        <v>269</v>
      </c>
      <c r="S90" s="61"/>
      <c r="T90" s="84"/>
      <c r="U90" s="69"/>
      <c r="V90" s="69"/>
      <c r="W90" s="69"/>
      <c r="X90" s="103"/>
      <c r="Y90" s="103"/>
      <c r="Z90" s="155">
        <f ca="1">A$1-L90</f>
        <v>239</v>
      </c>
    </row>
    <row r="91" s="40" customFormat="1" ht="26.25" customHeight="1" spans="1:26">
      <c r="A91" s="40" t="s">
        <v>790</v>
      </c>
      <c r="B91" s="54" t="s">
        <v>247</v>
      </c>
      <c r="C91" s="52" t="s">
        <v>791</v>
      </c>
      <c r="D91" s="40" t="s">
        <v>792</v>
      </c>
      <c r="E91" s="40"/>
      <c r="F91" s="40"/>
      <c r="G91" s="54" t="s">
        <v>283</v>
      </c>
      <c r="H91" s="103" t="s">
        <v>793</v>
      </c>
      <c r="I91" s="158"/>
      <c r="J91" s="227" t="s">
        <v>794</v>
      </c>
      <c r="K91" s="227" t="s">
        <v>795</v>
      </c>
      <c r="L91" s="61">
        <v>45755</v>
      </c>
      <c r="M91" s="137">
        <v>2020</v>
      </c>
      <c r="N91" s="62"/>
      <c r="O91" s="292">
        <v>2020</v>
      </c>
      <c r="P91" s="80">
        <v>45805</v>
      </c>
      <c r="Q91" s="272" t="s">
        <v>796</v>
      </c>
      <c r="R91" s="158" t="s">
        <v>269</v>
      </c>
      <c r="S91" s="61"/>
      <c r="T91" s="84"/>
      <c r="U91" s="69"/>
      <c r="V91" s="137"/>
      <c r="W91" s="137"/>
      <c r="X91" s="230"/>
      <c r="Y91" s="230"/>
      <c r="Z91" s="155"/>
    </row>
    <row r="92" s="115" customFormat="1" ht="26.25" customHeight="1" spans="1:26">
      <c r="A92" s="40" t="s">
        <v>790</v>
      </c>
      <c r="B92" s="54" t="s">
        <v>247</v>
      </c>
      <c r="C92" s="52" t="s">
        <v>791</v>
      </c>
      <c r="D92" s="40" t="s">
        <v>792</v>
      </c>
      <c r="E92" s="40"/>
      <c r="F92" s="40"/>
      <c r="G92" s="54" t="s">
        <v>283</v>
      </c>
      <c r="H92" s="103" t="s">
        <v>793</v>
      </c>
      <c r="I92" s="158"/>
      <c r="J92" s="227" t="s">
        <v>794</v>
      </c>
      <c r="K92" s="227" t="s">
        <v>795</v>
      </c>
      <c r="L92" s="61">
        <v>45755</v>
      </c>
      <c r="M92" s="137">
        <v>100</v>
      </c>
      <c r="N92" s="62"/>
      <c r="O92" s="292">
        <v>100</v>
      </c>
      <c r="P92" s="61">
        <v>45805</v>
      </c>
      <c r="Q92" s="272" t="s">
        <v>796</v>
      </c>
      <c r="R92" s="158" t="s">
        <v>269</v>
      </c>
      <c r="S92" s="61"/>
      <c r="T92" s="84"/>
      <c r="U92" s="69"/>
      <c r="V92" s="137"/>
      <c r="W92" s="137"/>
      <c r="X92" s="230"/>
      <c r="Y92" s="230"/>
      <c r="Z92" s="155"/>
    </row>
    <row r="93" s="40" customFormat="1" ht="26.25" customHeight="1" spans="1:26">
      <c r="A93" s="40" t="s">
        <v>27</v>
      </c>
      <c r="B93" s="60" t="s">
        <v>247</v>
      </c>
      <c r="C93" s="52" t="s">
        <v>797</v>
      </c>
      <c r="D93" s="103" t="s">
        <v>798</v>
      </c>
      <c r="E93" s="40"/>
      <c r="F93" s="40"/>
      <c r="G93" s="53" t="s">
        <v>283</v>
      </c>
      <c r="H93" s="103" t="s">
        <v>456</v>
      </c>
      <c r="I93" s="158" t="s">
        <v>269</v>
      </c>
      <c r="J93" s="103" t="s">
        <v>799</v>
      </c>
      <c r="K93" s="227" t="s">
        <v>800</v>
      </c>
      <c r="L93" s="61">
        <v>45761</v>
      </c>
      <c r="M93" s="52">
        <v>436</v>
      </c>
      <c r="N93" s="62"/>
      <c r="O93" s="63">
        <v>436</v>
      </c>
      <c r="P93" s="99">
        <v>45806</v>
      </c>
      <c r="Q93" s="272"/>
      <c r="R93" s="158" t="s">
        <v>269</v>
      </c>
      <c r="S93" s="61"/>
      <c r="T93" s="84"/>
      <c r="U93" s="69"/>
      <c r="V93" s="69"/>
      <c r="W93" s="69"/>
      <c r="X93" s="265"/>
      <c r="Y93" s="265"/>
      <c r="Z93" s="155"/>
    </row>
    <row r="94" s="40" customFormat="1" ht="26.25" customHeight="1" spans="1:26">
      <c r="A94" s="40" t="s">
        <v>27</v>
      </c>
      <c r="B94" s="53" t="s">
        <v>247</v>
      </c>
      <c r="C94" s="52" t="s">
        <v>801</v>
      </c>
      <c r="D94" s="103" t="s">
        <v>33</v>
      </c>
      <c r="E94" s="103"/>
      <c r="F94" s="103"/>
      <c r="G94" s="53" t="s">
        <v>283</v>
      </c>
      <c r="H94" s="103" t="s">
        <v>32</v>
      </c>
      <c r="I94" s="158" t="s">
        <v>269</v>
      </c>
      <c r="J94" s="94" t="s">
        <v>802</v>
      </c>
      <c r="K94" s="94" t="s">
        <v>803</v>
      </c>
      <c r="L94" s="61">
        <v>45676</v>
      </c>
      <c r="M94" s="52">
        <v>660</v>
      </c>
      <c r="N94" s="62"/>
      <c r="O94" s="63">
        <v>660</v>
      </c>
      <c r="P94" s="61">
        <v>45807</v>
      </c>
      <c r="Q94" s="272" t="s">
        <v>804</v>
      </c>
      <c r="R94" s="158" t="s">
        <v>269</v>
      </c>
      <c r="S94" s="61"/>
      <c r="T94" s="84"/>
      <c r="U94" s="69"/>
      <c r="V94" s="69"/>
      <c r="W94" s="69"/>
      <c r="X94" s="230"/>
      <c r="Y94" s="230"/>
      <c r="Z94" s="155">
        <f ca="1">A$1-L94</f>
        <v>293</v>
      </c>
    </row>
    <row r="95" s="40" customFormat="1" ht="26.25" customHeight="1" spans="1:26">
      <c r="A95" s="40" t="s">
        <v>27</v>
      </c>
      <c r="B95" s="53" t="s">
        <v>247</v>
      </c>
      <c r="C95" s="79" t="s">
        <v>805</v>
      </c>
      <c r="D95" s="90" t="s">
        <v>806</v>
      </c>
      <c r="E95" s="90"/>
      <c r="F95" s="90"/>
      <c r="G95" s="88" t="s">
        <v>283</v>
      </c>
      <c r="H95" s="273" t="s">
        <v>431</v>
      </c>
      <c r="I95" s="270" t="s">
        <v>269</v>
      </c>
      <c r="J95" s="235" t="s">
        <v>807</v>
      </c>
      <c r="K95" s="236" t="s">
        <v>808</v>
      </c>
      <c r="L95" s="80">
        <v>45727</v>
      </c>
      <c r="M95" s="88">
        <v>240</v>
      </c>
      <c r="N95" s="81"/>
      <c r="O95" s="271">
        <v>240</v>
      </c>
      <c r="P95" s="80">
        <v>45807</v>
      </c>
      <c r="Q95" s="272" t="s">
        <v>809</v>
      </c>
      <c r="R95" s="158" t="s">
        <v>269</v>
      </c>
      <c r="S95" s="61"/>
      <c r="T95" s="84"/>
      <c r="U95" s="69"/>
      <c r="V95" s="137"/>
      <c r="W95" s="137"/>
      <c r="X95" s="230"/>
      <c r="Y95" s="278"/>
      <c r="Z95" s="155">
        <f ca="1">A$1-L95</f>
        <v>242</v>
      </c>
    </row>
    <row r="96" s="45" customFormat="1" ht="26.25" customHeight="1" spans="1:26">
      <c r="A96" s="40" t="s">
        <v>27</v>
      </c>
      <c r="B96" s="53" t="s">
        <v>247</v>
      </c>
      <c r="C96" s="52" t="s">
        <v>805</v>
      </c>
      <c r="D96" s="40" t="s">
        <v>810</v>
      </c>
      <c r="E96" s="40"/>
      <c r="F96" s="40"/>
      <c r="G96" s="53" t="s">
        <v>283</v>
      </c>
      <c r="H96" s="103" t="s">
        <v>435</v>
      </c>
      <c r="I96" s="158" t="s">
        <v>269</v>
      </c>
      <c r="J96" s="226" t="s">
        <v>807</v>
      </c>
      <c r="K96" s="227" t="s">
        <v>808</v>
      </c>
      <c r="L96" s="61">
        <v>45727</v>
      </c>
      <c r="M96" s="53">
        <v>120</v>
      </c>
      <c r="N96" s="62"/>
      <c r="O96" s="63">
        <v>120</v>
      </c>
      <c r="P96" s="61">
        <v>45807</v>
      </c>
      <c r="Q96" s="272" t="s">
        <v>809</v>
      </c>
      <c r="R96" s="158" t="s">
        <v>269</v>
      </c>
      <c r="S96" s="99"/>
      <c r="T96" s="153"/>
      <c r="U96" s="285"/>
      <c r="V96" s="244"/>
      <c r="W96" s="244"/>
      <c r="X96" s="287"/>
      <c r="Y96" s="361"/>
      <c r="Z96" s="155">
        <f ca="1">A$1-L96</f>
        <v>242</v>
      </c>
    </row>
    <row r="97" s="40" customFormat="1" ht="26.25" customHeight="1" spans="1:26">
      <c r="A97" s="40" t="s">
        <v>604</v>
      </c>
      <c r="B97" s="54" t="s">
        <v>247</v>
      </c>
      <c r="C97" s="100" t="s">
        <v>811</v>
      </c>
      <c r="D97" s="328" t="s">
        <v>606</v>
      </c>
      <c r="E97" s="45"/>
      <c r="F97" s="45"/>
      <c r="G97" s="54" t="s">
        <v>283</v>
      </c>
      <c r="H97" s="160" t="s">
        <v>494</v>
      </c>
      <c r="I97" s="154" t="s">
        <v>269</v>
      </c>
      <c r="J97" s="362" t="s">
        <v>812</v>
      </c>
      <c r="K97" s="243" t="s">
        <v>813</v>
      </c>
      <c r="L97" s="99">
        <v>45762</v>
      </c>
      <c r="M97" s="100">
        <v>362</v>
      </c>
      <c r="N97" s="92"/>
      <c r="O97" s="162">
        <v>362</v>
      </c>
      <c r="P97" s="61">
        <v>45807</v>
      </c>
      <c r="R97" s="158"/>
      <c r="S97" s="61"/>
      <c r="T97" s="84" t="s">
        <v>499</v>
      </c>
      <c r="U97" s="69" t="s">
        <v>613</v>
      </c>
      <c r="V97" s="137"/>
      <c r="W97" s="137"/>
      <c r="X97" s="230"/>
      <c r="Y97" s="230"/>
      <c r="Z97" s="155"/>
    </row>
    <row r="98" s="40" customFormat="1" ht="26.25" customHeight="1" spans="1:26">
      <c r="A98" s="90" t="s">
        <v>604</v>
      </c>
      <c r="B98" s="309" t="s">
        <v>247</v>
      </c>
      <c r="C98" s="79" t="s">
        <v>811</v>
      </c>
      <c r="D98" s="269" t="s">
        <v>606</v>
      </c>
      <c r="E98" s="90"/>
      <c r="F98" s="90"/>
      <c r="G98" s="309" t="s">
        <v>283</v>
      </c>
      <c r="H98" s="273" t="s">
        <v>494</v>
      </c>
      <c r="I98" s="270" t="s">
        <v>269</v>
      </c>
      <c r="J98" s="363" t="s">
        <v>814</v>
      </c>
      <c r="K98" s="227" t="s">
        <v>813</v>
      </c>
      <c r="L98" s="61">
        <v>45762</v>
      </c>
      <c r="M98" s="52">
        <v>1</v>
      </c>
      <c r="N98" s="62"/>
      <c r="O98" s="63">
        <v>1</v>
      </c>
      <c r="P98" s="61">
        <v>45807</v>
      </c>
      <c r="R98" s="158"/>
      <c r="S98" s="61"/>
      <c r="T98" s="84" t="s">
        <v>499</v>
      </c>
      <c r="U98" s="69" t="s">
        <v>613</v>
      </c>
      <c r="V98" s="137"/>
      <c r="W98" s="137"/>
      <c r="X98" s="230"/>
      <c r="Y98" s="230"/>
      <c r="Z98" s="155"/>
    </row>
    <row r="99" s="40" customFormat="1" ht="26.25" customHeight="1" spans="1:26">
      <c r="A99" s="90" t="s">
        <v>604</v>
      </c>
      <c r="B99" s="53" t="s">
        <v>247</v>
      </c>
      <c r="C99" s="52" t="s">
        <v>811</v>
      </c>
      <c r="D99" s="265" t="s">
        <v>606</v>
      </c>
      <c r="E99" s="40"/>
      <c r="F99" s="40"/>
      <c r="G99" s="53" t="s">
        <v>283</v>
      </c>
      <c r="H99" s="103" t="s">
        <v>494</v>
      </c>
      <c r="I99" s="158" t="s">
        <v>269</v>
      </c>
      <c r="J99" s="363" t="s">
        <v>815</v>
      </c>
      <c r="K99" s="364" t="s">
        <v>813</v>
      </c>
      <c r="L99" s="61">
        <v>45762</v>
      </c>
      <c r="M99" s="52">
        <v>485</v>
      </c>
      <c r="N99" s="62"/>
      <c r="O99" s="63">
        <v>485</v>
      </c>
      <c r="P99" s="61">
        <v>45807</v>
      </c>
      <c r="R99" s="158"/>
      <c r="S99" s="61"/>
      <c r="T99" s="84" t="s">
        <v>499</v>
      </c>
      <c r="U99" s="69" t="s">
        <v>613</v>
      </c>
      <c r="V99" s="137"/>
      <c r="W99" s="229"/>
      <c r="X99" s="230"/>
      <c r="Y99" s="234"/>
      <c r="Z99" s="155"/>
    </row>
    <row r="100" ht="26.25" customHeight="1" spans="1:26">
      <c r="A100" s="40" t="s">
        <v>604</v>
      </c>
      <c r="B100" s="53" t="s">
        <v>247</v>
      </c>
      <c r="C100" s="52" t="s">
        <v>811</v>
      </c>
      <c r="D100" s="265" t="s">
        <v>606</v>
      </c>
      <c r="E100" s="40"/>
      <c r="F100" s="40"/>
      <c r="G100" s="53" t="s">
        <v>283</v>
      </c>
      <c r="H100" s="103" t="s">
        <v>494</v>
      </c>
      <c r="I100" s="158" t="s">
        <v>269</v>
      </c>
      <c r="J100" s="365" t="s">
        <v>816</v>
      </c>
      <c r="K100" s="364" t="s">
        <v>813</v>
      </c>
      <c r="L100" s="61">
        <v>45762</v>
      </c>
      <c r="M100" s="52">
        <v>1</v>
      </c>
      <c r="N100" s="62"/>
      <c r="O100" s="63">
        <v>1</v>
      </c>
      <c r="P100" s="61">
        <v>45807</v>
      </c>
      <c r="Q100" s="45"/>
      <c r="R100" s="158"/>
      <c r="S100" s="99"/>
      <c r="T100" s="84" t="s">
        <v>499</v>
      </c>
      <c r="U100" s="69" t="s">
        <v>613</v>
      </c>
      <c r="V100" s="244"/>
      <c r="W100" s="244"/>
      <c r="X100" s="287"/>
      <c r="Y100" s="319"/>
      <c r="Z100" s="155"/>
    </row>
    <row r="101" ht="26.25" customHeight="1" spans="1:26">
      <c r="A101" s="45" t="s">
        <v>604</v>
      </c>
      <c r="B101" s="54" t="s">
        <v>247</v>
      </c>
      <c r="C101" s="100" t="s">
        <v>811</v>
      </c>
      <c r="D101" s="328" t="s">
        <v>606</v>
      </c>
      <c r="E101" s="45"/>
      <c r="F101" s="45"/>
      <c r="G101" s="54" t="s">
        <v>283</v>
      </c>
      <c r="H101" s="160" t="s">
        <v>494</v>
      </c>
      <c r="I101" s="154" t="s">
        <v>269</v>
      </c>
      <c r="J101" s="362" t="s">
        <v>817</v>
      </c>
      <c r="K101" s="227" t="s">
        <v>813</v>
      </c>
      <c r="L101" s="61">
        <v>45762</v>
      </c>
      <c r="M101" s="52">
        <v>421</v>
      </c>
      <c r="N101" s="62"/>
      <c r="O101" s="63">
        <v>421</v>
      </c>
      <c r="P101" s="61">
        <v>45807</v>
      </c>
      <c r="Q101" s="45"/>
      <c r="R101" s="158"/>
      <c r="S101" s="303"/>
      <c r="T101" s="84" t="s">
        <v>499</v>
      </c>
      <c r="U101" s="69" t="s">
        <v>613</v>
      </c>
      <c r="V101" s="312"/>
      <c r="W101" s="312"/>
      <c r="X101" s="347"/>
      <c r="Y101" s="317"/>
      <c r="Z101" s="155"/>
    </row>
    <row r="102" s="40" customFormat="1" ht="26.25" customHeight="1" spans="1:26">
      <c r="A102" s="90" t="s">
        <v>604</v>
      </c>
      <c r="B102" s="88" t="s">
        <v>247</v>
      </c>
      <c r="C102" s="79" t="s">
        <v>811</v>
      </c>
      <c r="D102" s="269" t="s">
        <v>606</v>
      </c>
      <c r="E102" s="90"/>
      <c r="F102" s="90"/>
      <c r="G102" s="88" t="s">
        <v>283</v>
      </c>
      <c r="H102" s="273" t="s">
        <v>494</v>
      </c>
      <c r="I102" s="270" t="s">
        <v>269</v>
      </c>
      <c r="J102" s="363" t="s">
        <v>818</v>
      </c>
      <c r="K102" s="236" t="s">
        <v>813</v>
      </c>
      <c r="L102" s="80">
        <v>45762</v>
      </c>
      <c r="M102" s="79">
        <v>1</v>
      </c>
      <c r="N102" s="81"/>
      <c r="O102" s="271">
        <v>1</v>
      </c>
      <c r="P102" s="80">
        <v>45807</v>
      </c>
      <c r="Q102" s="294"/>
      <c r="R102" s="112"/>
      <c r="S102" s="61"/>
      <c r="T102" s="84" t="s">
        <v>499</v>
      </c>
      <c r="U102" s="69" t="s">
        <v>819</v>
      </c>
      <c r="V102" s="137"/>
      <c r="W102" s="137"/>
      <c r="X102" s="230"/>
      <c r="Y102" s="230"/>
      <c r="Z102" s="155"/>
    </row>
    <row r="103" s="40" customFormat="1" ht="26.25" customHeight="1" spans="1:26">
      <c r="A103" s="90" t="s">
        <v>27</v>
      </c>
      <c r="B103" s="120" t="s">
        <v>247</v>
      </c>
      <c r="C103" s="79" t="s">
        <v>386</v>
      </c>
      <c r="D103" s="269" t="s">
        <v>387</v>
      </c>
      <c r="E103" s="90"/>
      <c r="F103" s="90"/>
      <c r="G103" s="88" t="s">
        <v>283</v>
      </c>
      <c r="H103" s="273" t="s">
        <v>388</v>
      </c>
      <c r="I103" s="270" t="s">
        <v>269</v>
      </c>
      <c r="J103" s="236" t="s">
        <v>389</v>
      </c>
      <c r="K103" s="236" t="s">
        <v>373</v>
      </c>
      <c r="L103" s="80">
        <v>45764</v>
      </c>
      <c r="M103" s="79">
        <v>1000</v>
      </c>
      <c r="N103" s="81"/>
      <c r="O103" s="271">
        <v>1000</v>
      </c>
      <c r="P103" s="80">
        <v>45807</v>
      </c>
      <c r="Q103" s="318" t="s">
        <v>820</v>
      </c>
      <c r="R103" s="126"/>
      <c r="S103" s="80"/>
      <c r="T103" s="296"/>
      <c r="U103" s="294"/>
      <c r="V103" s="238"/>
      <c r="W103" s="238"/>
      <c r="X103" s="342"/>
      <c r="Y103" s="342"/>
      <c r="Z103" s="241"/>
    </row>
    <row r="104" s="40" customFormat="1" ht="26.25" customHeight="1" spans="1:26">
      <c r="A104" s="40" t="s">
        <v>821</v>
      </c>
      <c r="B104" s="53"/>
      <c r="C104" s="52"/>
      <c r="D104" s="265"/>
      <c r="E104" s="40"/>
      <c r="F104" s="40"/>
      <c r="G104" s="53"/>
      <c r="H104" s="103" t="s">
        <v>99</v>
      </c>
      <c r="I104" s="158"/>
      <c r="J104" s="227"/>
      <c r="K104" s="227"/>
      <c r="L104" s="61"/>
      <c r="M104" s="52"/>
      <c r="N104" s="62"/>
      <c r="O104" s="63">
        <v>1100</v>
      </c>
      <c r="P104" s="307">
        <v>45783</v>
      </c>
      <c r="Q104" s="272"/>
      <c r="R104" s="158"/>
      <c r="S104" s="61"/>
      <c r="T104" s="84"/>
      <c r="U104" s="69"/>
      <c r="V104" s="137"/>
      <c r="W104" s="137"/>
      <c r="X104" s="230"/>
      <c r="Y104" s="230"/>
      <c r="Z104" s="155"/>
    </row>
    <row r="105" s="40" customFormat="1" ht="26.25" customHeight="1" spans="1:26">
      <c r="A105" s="40" t="s">
        <v>821</v>
      </c>
      <c r="B105" s="53"/>
      <c r="C105" s="52"/>
      <c r="D105" s="265"/>
      <c r="E105" s="40"/>
      <c r="F105" s="40"/>
      <c r="G105" s="53"/>
      <c r="H105" s="103" t="s">
        <v>99</v>
      </c>
      <c r="I105" s="158"/>
      <c r="J105" s="227"/>
      <c r="K105" s="227"/>
      <c r="L105" s="61"/>
      <c r="M105" s="52"/>
      <c r="N105" s="62"/>
      <c r="O105" s="63">
        <v>2000</v>
      </c>
      <c r="P105" s="307">
        <v>45786</v>
      </c>
      <c r="Q105" s="272"/>
      <c r="R105" s="158"/>
      <c r="S105" s="61"/>
      <c r="T105" s="84"/>
      <c r="U105" s="69"/>
      <c r="V105" s="137"/>
      <c r="W105" s="137"/>
      <c r="X105" s="230"/>
      <c r="Y105" s="230"/>
      <c r="Z105" s="155"/>
    </row>
    <row r="106" s="40" customFormat="1" ht="26.25" customHeight="1" spans="1:26">
      <c r="A106" s="40" t="s">
        <v>821</v>
      </c>
      <c r="B106" s="53"/>
      <c r="C106" s="52"/>
      <c r="D106" s="265"/>
      <c r="E106" s="40"/>
      <c r="F106" s="40"/>
      <c r="G106" s="53"/>
      <c r="H106" s="103" t="s">
        <v>99</v>
      </c>
      <c r="I106" s="158"/>
      <c r="J106" s="227"/>
      <c r="K106" s="227"/>
      <c r="L106" s="61"/>
      <c r="M106" s="52"/>
      <c r="N106" s="62"/>
      <c r="O106" s="63">
        <v>1000</v>
      </c>
      <c r="P106" s="307">
        <v>45804</v>
      </c>
      <c r="Q106" s="272"/>
      <c r="R106" s="158"/>
      <c r="S106" s="61"/>
      <c r="T106" s="84"/>
      <c r="U106" s="69"/>
      <c r="V106" s="137"/>
      <c r="W106" s="137"/>
      <c r="X106" s="230"/>
      <c r="Y106" s="230"/>
      <c r="Z106" s="155"/>
    </row>
    <row r="107" s="40" customFormat="1" ht="26.25" customHeight="1" spans="1:26">
      <c r="A107" s="40" t="s">
        <v>821</v>
      </c>
      <c r="B107" s="53"/>
      <c r="C107" s="52"/>
      <c r="D107" s="265"/>
      <c r="E107" s="40"/>
      <c r="F107" s="40"/>
      <c r="G107" s="53"/>
      <c r="H107" s="103" t="s">
        <v>99</v>
      </c>
      <c r="I107" s="158"/>
      <c r="J107" s="227"/>
      <c r="K107" s="227"/>
      <c r="L107" s="61"/>
      <c r="M107" s="52"/>
      <c r="N107" s="62"/>
      <c r="O107" s="63">
        <v>3700</v>
      </c>
      <c r="P107" s="307">
        <v>45806</v>
      </c>
      <c r="Q107" s="272"/>
      <c r="R107" s="158"/>
      <c r="S107" s="61"/>
      <c r="T107" s="84"/>
      <c r="U107" s="69"/>
      <c r="V107" s="137"/>
      <c r="W107" s="137"/>
      <c r="X107" s="230"/>
      <c r="Y107" s="230"/>
      <c r="Z107" s="155"/>
    </row>
    <row r="108" s="40" customFormat="1" ht="26.25" customHeight="1" spans="1:26">
      <c r="A108" s="40" t="s">
        <v>821</v>
      </c>
      <c r="B108" s="53"/>
      <c r="C108" s="52"/>
      <c r="D108" s="265"/>
      <c r="E108" s="40"/>
      <c r="F108" s="40"/>
      <c r="G108" s="53"/>
      <c r="H108" s="103" t="s">
        <v>822</v>
      </c>
      <c r="I108" s="158"/>
      <c r="J108" s="227"/>
      <c r="K108" s="227"/>
      <c r="L108" s="61"/>
      <c r="M108" s="52"/>
      <c r="N108" s="62"/>
      <c r="O108" s="63">
        <v>2400</v>
      </c>
      <c r="P108" s="307">
        <v>45783</v>
      </c>
      <c r="Q108" s="272"/>
      <c r="R108" s="158"/>
      <c r="S108" s="61"/>
      <c r="T108" s="84"/>
      <c r="U108" s="69"/>
      <c r="V108" s="137"/>
      <c r="W108" s="137"/>
      <c r="X108" s="230"/>
      <c r="Y108" s="230"/>
      <c r="Z108" s="155"/>
    </row>
    <row r="109" s="40" customFormat="1" ht="26.25" customHeight="1" spans="1:26">
      <c r="A109" s="40" t="s">
        <v>821</v>
      </c>
      <c r="B109" s="53"/>
      <c r="C109" s="52"/>
      <c r="D109" s="265"/>
      <c r="E109" s="40"/>
      <c r="F109" s="40"/>
      <c r="G109" s="53"/>
      <c r="H109" s="103" t="s">
        <v>822</v>
      </c>
      <c r="I109" s="158"/>
      <c r="J109" s="227"/>
      <c r="K109" s="227"/>
      <c r="L109" s="61"/>
      <c r="M109" s="52"/>
      <c r="N109" s="62"/>
      <c r="O109" s="63">
        <v>3600</v>
      </c>
      <c r="P109" s="307">
        <v>45786</v>
      </c>
      <c r="Q109" s="272"/>
      <c r="R109" s="158"/>
      <c r="S109" s="61"/>
      <c r="T109" s="84"/>
      <c r="U109" s="69"/>
      <c r="V109" s="137"/>
      <c r="W109" s="137"/>
      <c r="X109" s="230"/>
      <c r="Y109" s="230"/>
      <c r="Z109" s="155"/>
    </row>
    <row r="110" s="40" customFormat="1" ht="26.25" customHeight="1" spans="1:26">
      <c r="A110" s="40" t="s">
        <v>821</v>
      </c>
      <c r="B110" s="53"/>
      <c r="C110" s="52"/>
      <c r="D110" s="265"/>
      <c r="E110" s="40"/>
      <c r="F110" s="40"/>
      <c r="G110" s="53"/>
      <c r="H110" s="103" t="s">
        <v>822</v>
      </c>
      <c r="I110" s="158"/>
      <c r="J110" s="227"/>
      <c r="K110" s="227"/>
      <c r="L110" s="61"/>
      <c r="M110" s="52"/>
      <c r="N110" s="62"/>
      <c r="O110" s="63">
        <v>3600</v>
      </c>
      <c r="P110" s="307">
        <v>45789</v>
      </c>
      <c r="Q110" s="272"/>
      <c r="R110" s="158"/>
      <c r="S110" s="61"/>
      <c r="T110" s="84"/>
      <c r="U110" s="69"/>
      <c r="V110" s="137"/>
      <c r="W110" s="137"/>
      <c r="X110" s="230"/>
      <c r="Y110" s="230"/>
      <c r="Z110" s="155"/>
    </row>
    <row r="111" s="40" customFormat="1" ht="26.25" customHeight="1" spans="1:26">
      <c r="A111" s="40" t="s">
        <v>821</v>
      </c>
      <c r="B111" s="53"/>
      <c r="C111" s="52"/>
      <c r="D111" s="265"/>
      <c r="E111" s="40"/>
      <c r="F111" s="40"/>
      <c r="G111" s="53"/>
      <c r="H111" s="103" t="s">
        <v>822</v>
      </c>
      <c r="I111" s="158"/>
      <c r="J111" s="227"/>
      <c r="K111" s="227"/>
      <c r="L111" s="61"/>
      <c r="M111" s="52"/>
      <c r="N111" s="62"/>
      <c r="O111" s="63">
        <v>3600</v>
      </c>
      <c r="P111" s="307">
        <v>45793</v>
      </c>
      <c r="Q111" s="272"/>
      <c r="R111" s="158"/>
      <c r="S111" s="61"/>
      <c r="T111" s="84"/>
      <c r="U111" s="69"/>
      <c r="V111" s="137"/>
      <c r="W111" s="137"/>
      <c r="X111" s="230"/>
      <c r="Y111" s="230"/>
      <c r="Z111" s="155"/>
    </row>
    <row r="112" s="40" customFormat="1" ht="26.25" customHeight="1" spans="1:26">
      <c r="A112" s="40" t="s">
        <v>821</v>
      </c>
      <c r="B112" s="53"/>
      <c r="C112" s="52"/>
      <c r="D112" s="265"/>
      <c r="E112" s="40"/>
      <c r="F112" s="40"/>
      <c r="G112" s="53"/>
      <c r="H112" s="103" t="s">
        <v>822</v>
      </c>
      <c r="I112" s="158"/>
      <c r="J112" s="227"/>
      <c r="K112" s="227"/>
      <c r="L112" s="61"/>
      <c r="M112" s="52"/>
      <c r="N112" s="62"/>
      <c r="O112" s="63">
        <v>3600</v>
      </c>
      <c r="P112" s="307">
        <v>45796</v>
      </c>
      <c r="Q112" s="272"/>
      <c r="R112" s="158"/>
      <c r="S112" s="61"/>
      <c r="T112" s="84"/>
      <c r="U112" s="69"/>
      <c r="V112" s="137"/>
      <c r="W112" s="137"/>
      <c r="X112" s="230"/>
      <c r="Y112" s="230"/>
      <c r="Z112" s="155"/>
    </row>
    <row r="113" s="40" customFormat="1" ht="26.25" customHeight="1" spans="1:26">
      <c r="A113" s="40" t="s">
        <v>821</v>
      </c>
      <c r="B113" s="53"/>
      <c r="C113" s="52"/>
      <c r="D113" s="265"/>
      <c r="E113" s="40"/>
      <c r="F113" s="40"/>
      <c r="G113" s="53"/>
      <c r="H113" s="103" t="s">
        <v>822</v>
      </c>
      <c r="I113" s="158"/>
      <c r="J113" s="227"/>
      <c r="K113" s="227"/>
      <c r="L113" s="61"/>
      <c r="M113" s="52"/>
      <c r="N113" s="62"/>
      <c r="O113" s="63">
        <v>3600</v>
      </c>
      <c r="P113" s="307">
        <v>45800</v>
      </c>
      <c r="Q113" s="272"/>
      <c r="R113" s="158"/>
      <c r="S113" s="61"/>
      <c r="T113" s="84"/>
      <c r="U113" s="69"/>
      <c r="V113" s="137"/>
      <c r="W113" s="137"/>
      <c r="X113" s="230"/>
      <c r="Y113" s="230"/>
      <c r="Z113" s="155"/>
    </row>
    <row r="114" s="40" customFormat="1" ht="26.25" customHeight="1" spans="1:26">
      <c r="A114" s="40" t="s">
        <v>821</v>
      </c>
      <c r="B114" s="53"/>
      <c r="C114" s="52"/>
      <c r="D114" s="265"/>
      <c r="E114" s="40"/>
      <c r="F114" s="40"/>
      <c r="G114" s="53"/>
      <c r="H114" s="103" t="s">
        <v>822</v>
      </c>
      <c r="I114" s="158"/>
      <c r="J114" s="227"/>
      <c r="K114" s="227"/>
      <c r="L114" s="61"/>
      <c r="M114" s="52"/>
      <c r="N114" s="62"/>
      <c r="O114" s="63">
        <v>4800</v>
      </c>
      <c r="P114" s="307">
        <v>45806</v>
      </c>
      <c r="Q114" s="272"/>
      <c r="R114" s="158"/>
      <c r="S114" s="61"/>
      <c r="T114" s="84"/>
      <c r="U114" s="69"/>
      <c r="V114" s="137"/>
      <c r="W114" s="137"/>
      <c r="X114" s="230"/>
      <c r="Y114" s="230"/>
      <c r="Z114" s="155"/>
    </row>
    <row r="115" s="40" customFormat="1" ht="26.25" customHeight="1" spans="1:26">
      <c r="A115" s="40" t="s">
        <v>821</v>
      </c>
      <c r="B115" s="53"/>
      <c r="C115" s="52"/>
      <c r="D115" s="265"/>
      <c r="E115" s="40"/>
      <c r="F115" s="40"/>
      <c r="G115" s="53"/>
      <c r="H115" s="103" t="s">
        <v>823</v>
      </c>
      <c r="I115" s="158"/>
      <c r="J115" s="227"/>
      <c r="K115" s="227"/>
      <c r="L115" s="61"/>
      <c r="M115" s="52"/>
      <c r="N115" s="62"/>
      <c r="O115" s="63">
        <v>1000</v>
      </c>
      <c r="P115" s="307">
        <v>45785</v>
      </c>
      <c r="Q115" s="272"/>
      <c r="R115" s="158"/>
      <c r="S115" s="61"/>
      <c r="T115" s="84"/>
      <c r="U115" s="69"/>
      <c r="V115" s="137"/>
      <c r="W115" s="137"/>
      <c r="X115" s="230"/>
      <c r="Y115" s="230"/>
      <c r="Z115" s="155"/>
    </row>
    <row r="116" s="40" customFormat="1" ht="26.25" customHeight="1" spans="1:26">
      <c r="A116" s="40" t="s">
        <v>821</v>
      </c>
      <c r="B116" s="53"/>
      <c r="C116" s="52"/>
      <c r="D116" s="265"/>
      <c r="E116" s="40"/>
      <c r="F116" s="40"/>
      <c r="G116" s="53"/>
      <c r="H116" s="103" t="s">
        <v>823</v>
      </c>
      <c r="I116" s="158"/>
      <c r="J116" s="227"/>
      <c r="K116" s="227"/>
      <c r="L116" s="61"/>
      <c r="M116" s="52"/>
      <c r="N116" s="62"/>
      <c r="O116" s="63">
        <v>900</v>
      </c>
      <c r="P116" s="307">
        <v>45793</v>
      </c>
      <c r="Q116" s="272"/>
      <c r="R116" s="158"/>
      <c r="S116" s="61"/>
      <c r="T116" s="84"/>
      <c r="U116" s="69"/>
      <c r="V116" s="137"/>
      <c r="W116" s="137"/>
      <c r="X116" s="230"/>
      <c r="Y116" s="230"/>
      <c r="Z116" s="155"/>
    </row>
    <row r="117" s="40" customFormat="1" ht="26.25" customHeight="1" spans="1:26">
      <c r="A117" s="40" t="s">
        <v>821</v>
      </c>
      <c r="B117" s="53"/>
      <c r="C117" s="52"/>
      <c r="D117" s="265"/>
      <c r="E117" s="40"/>
      <c r="F117" s="40"/>
      <c r="G117" s="53"/>
      <c r="H117" s="103" t="s">
        <v>823</v>
      </c>
      <c r="I117" s="158"/>
      <c r="J117" s="227"/>
      <c r="K117" s="227"/>
      <c r="L117" s="61"/>
      <c r="M117" s="52"/>
      <c r="N117" s="62"/>
      <c r="O117" s="63">
        <v>2500</v>
      </c>
      <c r="P117" s="307">
        <v>45796</v>
      </c>
      <c r="Q117" s="272"/>
      <c r="R117" s="158"/>
      <c r="S117" s="61"/>
      <c r="T117" s="84"/>
      <c r="U117" s="69"/>
      <c r="V117" s="137"/>
      <c r="W117" s="137"/>
      <c r="X117" s="230"/>
      <c r="Y117" s="230"/>
      <c r="Z117" s="155"/>
    </row>
    <row r="118" s="40" customFormat="1" ht="26.25" customHeight="1" spans="1:26">
      <c r="A118" s="40" t="s">
        <v>821</v>
      </c>
      <c r="B118" s="53"/>
      <c r="C118" s="52"/>
      <c r="D118" s="265"/>
      <c r="E118" s="40"/>
      <c r="F118" s="40"/>
      <c r="G118" s="53"/>
      <c r="H118" s="103" t="s">
        <v>823</v>
      </c>
      <c r="I118" s="158"/>
      <c r="J118" s="227"/>
      <c r="K118" s="227"/>
      <c r="L118" s="61"/>
      <c r="M118" s="52"/>
      <c r="N118" s="62"/>
      <c r="O118" s="63">
        <v>1500</v>
      </c>
      <c r="P118" s="307">
        <v>45800</v>
      </c>
      <c r="Q118" s="272"/>
      <c r="R118" s="158"/>
      <c r="S118" s="61"/>
      <c r="T118" s="84"/>
      <c r="U118" s="69"/>
      <c r="V118" s="137"/>
      <c r="W118" s="137"/>
      <c r="X118" s="230"/>
      <c r="Y118" s="230"/>
      <c r="Z118" s="155"/>
    </row>
  </sheetData>
  <mergeCells count="24">
    <mergeCell ref="P1:Q1"/>
    <mergeCell ref="R2:S2"/>
    <mergeCell ref="V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T2:T3"/>
    <mergeCell ref="U2:U3"/>
    <mergeCell ref="X2:X3"/>
    <mergeCell ref="Z2:Z3"/>
  </mergeCells>
  <conditionalFormatting sqref="D1:D3">
    <cfRule type="containsText" dxfId="2" priority="3" operator="between" text="研发费用单">
      <formula>NOT(ISERROR(SEARCH("研发费用单",D1)))</formula>
    </cfRule>
  </conditionalFormatting>
  <conditionalFormatting sqref="S1:S118">
    <cfRule type="containsText" dxfId="3" priority="1" operator="between" text="预计">
      <formula>NOT(ISERROR(SEARCH("预计",S1)))</formula>
    </cfRule>
  </conditionalFormatting>
  <conditionalFormatting sqref="C1:C118 B2:B3 Q20">
    <cfRule type="containsText" dxfId="0" priority="2" operator="between" text="SO">
      <formula>NOT(ISERROR(SEARCH("SO",B1)))</formula>
    </cfRule>
  </conditionalFormatting>
  <conditionalFormatting sqref="S1:S2 S4:S37 S39:S65 S67 S82 S84 S99:S103">
    <cfRule type="notContainsBlanks" dxfId="4" priority="5">
      <formula>LEN(TRIM(S1))&gt;0</formula>
    </cfRule>
  </conditionalFormatting>
  <conditionalFormatting sqref="B2:B103 G4:G103">
    <cfRule type="containsText" dxfId="5" priority="7" operator="between" text="√">
      <formula>NOT(ISERROR(SEARCH("√",B2)))</formula>
    </cfRule>
  </conditionalFormatting>
  <conditionalFormatting sqref="K2:L3 Q2:Q3">
    <cfRule type="containsText" dxfId="6" priority="6" operator="between" text="系统">
      <formula>NOT(ISERROR(SEARCH("系统",K2)))</formula>
    </cfRule>
  </conditionalFormatting>
  <conditionalFormatting sqref="B4:B5 G4:G103 B9:B10 B12 B16 B20 B38 B43:B45 B47:B48 B58 B62:B98 B103">
    <cfRule type="notContainsBlanks" dxfId="0" priority="4">
      <formula>LEN(TRIM(B4))&gt;0</formula>
    </cfRule>
  </conditionalFormatting>
  <conditionalFormatting sqref="C4:C62 Q20 C64:C103">
    <cfRule type="containsText" dxfId="0" priority="8" operator="between" text="√">
      <formula>NOT(ISERROR(SEARCH("√",C4)))</formula>
    </cfRule>
  </conditionalFormatting>
  <dataValidations count="2">
    <dataValidation type="list" allowBlank="1" showInputMessage="1" showErrorMessage="1" sqref="I3:I200">
      <formula1>"DTK3,K30,DTK5,K50,K31,K70,/,K10,K70W,定制,"</formula1>
    </dataValidation>
    <dataValidation type="list" allowBlank="1" showInputMessage="1" showErrorMessage="1" sqref="R3:R200">
      <formula1>"中控线,按键线,蓝牙模块,安全芯片,磁环,保护膜,/,"</formula1>
    </dataValidation>
  </dataValidation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5年订单准交率（从4月份起）"/>
  <dimension ref="A1:AA23"/>
  <sheetViews>
    <sheetView workbookViewId="0">
      <selection activeCell="A1" sqref="A1"/>
    </sheetView>
  </sheetViews>
  <sheetFormatPr defaultColWidth="13.7115384615385" defaultRowHeight="18" customHeight="1"/>
  <cols>
    <col min="1" max="1" width="13.7115384615385" customWidth="1"/>
    <col min="2" max="14" width="10.7115384615385" customWidth="1"/>
  </cols>
  <sheetData>
    <row r="1" ht="30" customHeight="1" spans="1:27">
      <c r="A1" s="185"/>
      <c r="B1" s="186" t="s">
        <v>824</v>
      </c>
      <c r="F1" s="187" t="s">
        <v>825</v>
      </c>
      <c r="K1" s="188" t="s">
        <v>826</v>
      </c>
      <c r="O1" s="189" t="s">
        <v>827</v>
      </c>
      <c r="S1" s="190" t="s">
        <v>828</v>
      </c>
      <c r="X1" s="191" t="s">
        <v>829</v>
      </c>
    </row>
    <row r="2" ht="17.6" spans="1:27">
      <c r="A2" s="192" t="s">
        <v>830</v>
      </c>
      <c r="B2" s="193">
        <v>45752</v>
      </c>
      <c r="C2" s="193">
        <f t="shared" ref="C2:AA2" si="0">B2+7</f>
        <v>45759</v>
      </c>
      <c r="D2" s="193">
        <f t="shared" si="0"/>
        <v>45766</v>
      </c>
      <c r="E2" s="193">
        <f t="shared" si="0"/>
        <v>45773</v>
      </c>
      <c r="F2" s="193">
        <f t="shared" si="0"/>
        <v>45780</v>
      </c>
      <c r="G2" s="193">
        <f t="shared" si="0"/>
        <v>45787</v>
      </c>
      <c r="H2" s="193">
        <f t="shared" si="0"/>
        <v>45794</v>
      </c>
      <c r="I2" s="193">
        <f t="shared" si="0"/>
        <v>45801</v>
      </c>
      <c r="J2" s="193">
        <f t="shared" si="0"/>
        <v>45808</v>
      </c>
      <c r="K2" s="193">
        <f t="shared" si="0"/>
        <v>45815</v>
      </c>
      <c r="L2" s="193">
        <f t="shared" si="0"/>
        <v>45822</v>
      </c>
      <c r="M2" s="193">
        <f t="shared" si="0"/>
        <v>45829</v>
      </c>
      <c r="N2" s="193">
        <f t="shared" si="0"/>
        <v>45836</v>
      </c>
      <c r="O2" s="193">
        <f t="shared" si="0"/>
        <v>45843</v>
      </c>
      <c r="P2" s="193">
        <f t="shared" si="0"/>
        <v>45850</v>
      </c>
      <c r="Q2" s="193">
        <f t="shared" si="0"/>
        <v>45857</v>
      </c>
      <c r="R2" s="193">
        <f t="shared" si="0"/>
        <v>45864</v>
      </c>
      <c r="S2" s="193">
        <f t="shared" si="0"/>
        <v>45871</v>
      </c>
      <c r="T2" s="193">
        <f t="shared" si="0"/>
        <v>45878</v>
      </c>
      <c r="U2" s="193">
        <f t="shared" si="0"/>
        <v>45885</v>
      </c>
      <c r="V2" s="193">
        <f t="shared" si="0"/>
        <v>45892</v>
      </c>
      <c r="W2" s="193">
        <f t="shared" si="0"/>
        <v>45899</v>
      </c>
      <c r="X2" s="193">
        <f t="shared" si="0"/>
        <v>45906</v>
      </c>
      <c r="Y2" s="193">
        <f t="shared" si="0"/>
        <v>45913</v>
      </c>
      <c r="Z2" s="193">
        <f t="shared" si="0"/>
        <v>45920</v>
      </c>
      <c r="AA2" s="193">
        <f t="shared" si="0"/>
        <v>45927</v>
      </c>
    </row>
    <row r="3" ht="17.6" spans="1:27">
      <c r="A3" s="192" t="s">
        <v>831</v>
      </c>
      <c r="B3" s="194" t="s">
        <v>832</v>
      </c>
      <c r="C3" s="194" t="s">
        <v>833</v>
      </c>
      <c r="D3" s="194" t="s">
        <v>834</v>
      </c>
      <c r="E3" s="194" t="s">
        <v>835</v>
      </c>
      <c r="F3" s="194" t="s">
        <v>836</v>
      </c>
      <c r="G3" s="194" t="s">
        <v>837</v>
      </c>
      <c r="H3" s="194" t="s">
        <v>838</v>
      </c>
      <c r="I3" s="194" t="s">
        <v>839</v>
      </c>
      <c r="J3" s="194" t="s">
        <v>840</v>
      </c>
      <c r="K3" s="194" t="s">
        <v>841</v>
      </c>
      <c r="L3" s="194" t="s">
        <v>842</v>
      </c>
      <c r="M3" s="194" t="s">
        <v>843</v>
      </c>
      <c r="N3" s="194" t="s">
        <v>844</v>
      </c>
      <c r="O3" s="194" t="s">
        <v>845</v>
      </c>
      <c r="P3" s="194" t="s">
        <v>846</v>
      </c>
      <c r="Q3" s="194" t="s">
        <v>847</v>
      </c>
      <c r="R3" s="194" t="s">
        <v>848</v>
      </c>
      <c r="S3" s="194" t="s">
        <v>849</v>
      </c>
      <c r="T3" s="194" t="s">
        <v>850</v>
      </c>
      <c r="U3" s="194" t="s">
        <v>851</v>
      </c>
      <c r="V3" s="194" t="s">
        <v>852</v>
      </c>
      <c r="W3" s="194" t="s">
        <v>853</v>
      </c>
      <c r="X3" s="194" t="s">
        <v>854</v>
      </c>
      <c r="Y3" s="194" t="s">
        <v>855</v>
      </c>
      <c r="Z3" s="194" t="s">
        <v>856</v>
      </c>
      <c r="AA3" s="194" t="s">
        <v>857</v>
      </c>
    </row>
    <row r="4" ht="17.6" spans="1:27">
      <c r="A4" s="195" t="s">
        <v>858</v>
      </c>
      <c r="B4" s="195">
        <v>29</v>
      </c>
      <c r="C4" s="195">
        <v>49</v>
      </c>
      <c r="D4" s="195">
        <v>40</v>
      </c>
      <c r="E4" s="195">
        <v>30</v>
      </c>
      <c r="F4" s="195">
        <v>18</v>
      </c>
      <c r="G4" s="195">
        <v>30</v>
      </c>
      <c r="H4" s="195">
        <v>51</v>
      </c>
      <c r="I4" s="195">
        <v>41</v>
      </c>
      <c r="J4" s="195">
        <v>49</v>
      </c>
      <c r="K4" s="195">
        <v>24</v>
      </c>
      <c r="L4" s="195">
        <v>30</v>
      </c>
      <c r="M4" s="195">
        <v>54</v>
      </c>
      <c r="N4" s="195">
        <v>45</v>
      </c>
      <c r="O4" s="195">
        <v>50</v>
      </c>
      <c r="P4" s="195">
        <v>26</v>
      </c>
      <c r="Q4" s="195">
        <v>27</v>
      </c>
      <c r="R4" s="195">
        <v>34</v>
      </c>
      <c r="S4" s="195">
        <v>24</v>
      </c>
      <c r="T4" s="195">
        <v>39</v>
      </c>
      <c r="U4" s="195">
        <v>31</v>
      </c>
      <c r="V4" s="195">
        <v>30</v>
      </c>
      <c r="W4" s="195">
        <v>34</v>
      </c>
      <c r="X4" s="195">
        <v>33</v>
      </c>
      <c r="Y4" s="195"/>
      <c r="Z4" s="195"/>
      <c r="AA4" s="195"/>
    </row>
    <row r="5" ht="17.6" spans="1:27">
      <c r="A5" s="195" t="s">
        <v>859</v>
      </c>
      <c r="B5" s="195">
        <v>23</v>
      </c>
      <c r="C5" s="195">
        <v>44</v>
      </c>
      <c r="D5" s="195">
        <v>37</v>
      </c>
      <c r="E5" s="195">
        <v>30</v>
      </c>
      <c r="F5" s="195">
        <v>16</v>
      </c>
      <c r="G5" s="195">
        <v>30</v>
      </c>
      <c r="H5" s="195">
        <v>50</v>
      </c>
      <c r="I5" s="195">
        <v>41</v>
      </c>
      <c r="J5" s="195">
        <v>48</v>
      </c>
      <c r="K5" s="195">
        <v>15</v>
      </c>
      <c r="L5" s="195">
        <v>30</v>
      </c>
      <c r="M5" s="195">
        <v>52</v>
      </c>
      <c r="N5" s="195">
        <v>42</v>
      </c>
      <c r="O5" s="195">
        <v>47</v>
      </c>
      <c r="P5" s="195">
        <v>25</v>
      </c>
      <c r="Q5" s="195">
        <v>26</v>
      </c>
      <c r="R5" s="195">
        <v>34</v>
      </c>
      <c r="S5" s="195">
        <v>22</v>
      </c>
      <c r="T5" s="195">
        <v>38</v>
      </c>
      <c r="U5" s="195">
        <v>27</v>
      </c>
      <c r="V5" s="195">
        <v>27</v>
      </c>
      <c r="W5" s="195">
        <v>33</v>
      </c>
      <c r="X5" s="195">
        <v>33</v>
      </c>
      <c r="Y5" s="195"/>
      <c r="Z5" s="195"/>
      <c r="AA5" s="195"/>
    </row>
    <row r="6" ht="17.6" spans="1:27">
      <c r="A6" s="196" t="s">
        <v>860</v>
      </c>
      <c r="B6" s="197">
        <f t="shared" ref="B6:AA6" si="1">B5/B4</f>
        <v>0.793103448275862</v>
      </c>
      <c r="C6" s="197">
        <f t="shared" si="1"/>
        <v>0.897959183673469</v>
      </c>
      <c r="D6" s="197">
        <f t="shared" si="1"/>
        <v>0.925</v>
      </c>
      <c r="E6" s="197">
        <f t="shared" si="1"/>
        <v>1</v>
      </c>
      <c r="F6" s="197">
        <f t="shared" si="1"/>
        <v>0.888888888888889</v>
      </c>
      <c r="G6" s="197">
        <f t="shared" si="1"/>
        <v>1</v>
      </c>
      <c r="H6" s="197">
        <f t="shared" si="1"/>
        <v>0.980392156862745</v>
      </c>
      <c r="I6" s="197">
        <f t="shared" si="1"/>
        <v>1</v>
      </c>
      <c r="J6" s="197">
        <f t="shared" si="1"/>
        <v>0.979591836734694</v>
      </c>
      <c r="K6" s="197">
        <f t="shared" si="1"/>
        <v>0.625</v>
      </c>
      <c r="L6" s="197">
        <f t="shared" si="1"/>
        <v>1</v>
      </c>
      <c r="M6" s="197">
        <f t="shared" si="1"/>
        <v>0.962962962962963</v>
      </c>
      <c r="N6" s="197">
        <f t="shared" si="1"/>
        <v>0.933333333333333</v>
      </c>
      <c r="O6" s="197">
        <f t="shared" si="1"/>
        <v>0.94</v>
      </c>
      <c r="P6" s="197">
        <f t="shared" si="1"/>
        <v>0.961538461538462</v>
      </c>
      <c r="Q6" s="197">
        <f t="shared" si="1"/>
        <v>0.962962962962963</v>
      </c>
      <c r="R6" s="197">
        <f t="shared" si="1"/>
        <v>1</v>
      </c>
      <c r="S6" s="197">
        <f t="shared" si="1"/>
        <v>0.916666666666667</v>
      </c>
      <c r="T6" s="197">
        <f t="shared" si="1"/>
        <v>0.974358974358974</v>
      </c>
      <c r="U6" s="197">
        <f t="shared" si="1"/>
        <v>0.870967741935484</v>
      </c>
      <c r="V6" s="197">
        <f t="shared" si="1"/>
        <v>0.9</v>
      </c>
      <c r="W6" s="197">
        <f t="shared" si="1"/>
        <v>0.970588235294118</v>
      </c>
      <c r="X6" s="197">
        <f t="shared" si="1"/>
        <v>1</v>
      </c>
      <c r="Y6" s="197" t="e">
        <f t="shared" si="1"/>
        <v>#DIV/0!</v>
      </c>
      <c r="Z6" s="197" t="e">
        <f t="shared" si="1"/>
        <v>#DIV/0!</v>
      </c>
      <c r="AA6" s="197" t="e">
        <f t="shared" si="1"/>
        <v>#DIV/0!</v>
      </c>
    </row>
    <row r="7" ht="17.6" spans="1:27">
      <c r="A7" s="198" t="s">
        <v>861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</row>
    <row r="8" ht="17.6" spans="1:27">
      <c r="A8" s="198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</row>
    <row r="9" spans="1:27">
      <c r="A9" s="199" t="s">
        <v>862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</row>
    <row r="10" spans="1:27">
      <c r="A10" s="198" t="s">
        <v>863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</row>
    <row r="11" ht="17.6" spans="1:27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</row>
    <row r="12" ht="17.6" spans="1:27">
      <c r="A12" s="198"/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3" ht="17.6" spans="1:27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</row>
    <row r="14" ht="17.6" spans="1:27">
      <c r="A14" s="198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</row>
    <row r="15" ht="17.6" spans="1:27"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</row>
    <row r="16" ht="17.6" spans="1:27">
      <c r="A16" s="198"/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ht="17.6" spans="1:14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</row>
    <row r="18" ht="17.6" spans="1:14">
      <c r="A18" s="198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</row>
    <row r="19" ht="17.6" spans="1:14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</row>
    <row r="20" ht="17.6" spans="1:14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</row>
    <row r="21" ht="17.6" spans="1:14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</row>
    <row r="22" ht="17.6" spans="1:14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</row>
    <row r="23" ht="17.6" spans="1:14">
      <c r="A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</row>
  </sheetData>
  <mergeCells count="6">
    <mergeCell ref="B1:E1"/>
    <mergeCell ref="F1:J1"/>
    <mergeCell ref="K1:N1"/>
    <mergeCell ref="O1:R1"/>
    <mergeCell ref="S1:W1"/>
    <mergeCell ref="X1:AA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【乐骑】待交货订单明细（市场维护）">
    <tabColor rgb="FFFFC000"/>
  </sheetPr>
  <dimension ref="A1:BK103"/>
  <sheetViews>
    <sheetView workbookViewId="0">
      <pane xSplit="16" ySplit="3" topLeftCell="Q4" activePane="bottomRight" state="frozen"/>
      <selection/>
      <selection pane="topRight"/>
      <selection pane="bottomLeft"/>
      <selection pane="bottomRight" activeCell="Q4" sqref="Q4"/>
    </sheetView>
  </sheetViews>
  <sheetFormatPr defaultColWidth="13.7115384615385" defaultRowHeight="18" customHeight="1"/>
  <cols>
    <col min="1" max="2" width="13.4230769230769" style="1" customWidth="1"/>
    <col min="3" max="3" width="10.7115384615385" style="2" hidden="1" outlineLevel="1"/>
    <col min="4" max="4" width="15.7115384615385" style="1" hidden="1" outlineLevel="1"/>
    <col min="5" max="5" width="19.7115384615385" style="2" collapsed="1"/>
    <col min="6" max="6" width="19.7115384615385" style="3" hidden="1" outlineLevel="1"/>
    <col min="7" max="7" width="21.7115384615385" style="3" hidden="1" outlineLevel="1"/>
    <col min="8" max="8" width="19.7115384615385" style="2" hidden="1" outlineLevel="1" collapsed="1"/>
    <col min="9" max="9" width="13.7115384615385" style="1" collapsed="1"/>
    <col min="10" max="10" width="16.5673076923077" style="2" customWidth="1"/>
    <col min="11" max="11" width="16.8557692307692" style="1" customWidth="1"/>
    <col min="12" max="12" width="13" style="4" customWidth="1"/>
    <col min="13" max="13" width="9.85576923076923" style="1" customWidth="1"/>
    <col min="14" max="14" width="8.56730769230769" style="5" customWidth="1"/>
    <col min="15" max="15" width="9.14423076923077" style="6" customWidth="1"/>
    <col min="16" max="16" width="14.2884615384615" style="7" customWidth="1"/>
    <col min="17" max="44" width="6.71153846153846" style="8" customWidth="1"/>
    <col min="45" max="55" width="6.71153846153846" style="7" customWidth="1"/>
    <col min="56" max="56" width="25.4230769230769" style="9" customWidth="1"/>
    <col min="57" max="57" width="13.7115384615385" style="1"/>
    <col min="58" max="58" width="14.7115384615385" style="4" customWidth="1"/>
    <col min="59" max="59" width="12.4230769230769" style="10" customWidth="1"/>
    <col min="60" max="60" width="21.7115384615385" style="2" customWidth="1"/>
    <col min="61" max="61" width="38.8557692307692" style="3" customWidth="1"/>
    <col min="63" max="63" width="38.2884615384615" style="11" customWidth="1"/>
  </cols>
  <sheetData>
    <row r="1" ht="36" customHeight="1" spans="1:63">
      <c r="B1" s="12">
        <f ca="1">TODAY()</f>
        <v>45969</v>
      </c>
      <c r="C1" s="13" t="s">
        <v>214</v>
      </c>
      <c r="D1" s="14"/>
      <c r="E1" s="14"/>
      <c r="F1" s="13" t="s">
        <v>214</v>
      </c>
      <c r="G1" s="13" t="s">
        <v>214</v>
      </c>
      <c r="H1" s="13" t="s">
        <v>214</v>
      </c>
      <c r="I1" s="15"/>
      <c r="J1" s="14"/>
      <c r="K1" s="14"/>
      <c r="L1" s="16"/>
      <c r="M1" s="15"/>
      <c r="N1" s="17"/>
      <c r="O1" s="17"/>
      <c r="P1" s="18"/>
      <c r="Q1" s="19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21"/>
      <c r="BE1" s="15"/>
      <c r="BF1" s="16"/>
      <c r="BG1" s="22"/>
      <c r="BH1" s="14"/>
      <c r="BI1" s="23"/>
      <c r="BJ1" s="24"/>
      <c r="BK1" s="24"/>
    </row>
    <row r="2" ht="32.25" customHeight="1" spans="1:63">
      <c r="A2" s="25" t="s">
        <v>64</v>
      </c>
      <c r="B2" s="26" t="s">
        <v>63</v>
      </c>
      <c r="C2" s="27" t="s">
        <v>219</v>
      </c>
      <c r="D2" s="28" t="s">
        <v>482</v>
      </c>
      <c r="E2" s="27" t="s">
        <v>221</v>
      </c>
      <c r="F2" s="29" t="s">
        <v>222</v>
      </c>
      <c r="G2" s="29" t="s">
        <v>223</v>
      </c>
      <c r="H2" s="30" t="s">
        <v>224</v>
      </c>
      <c r="I2" s="26" t="s">
        <v>2</v>
      </c>
      <c r="J2" s="27" t="s">
        <v>227</v>
      </c>
      <c r="K2" s="31" t="s">
        <v>228</v>
      </c>
      <c r="L2" s="27" t="s">
        <v>864</v>
      </c>
      <c r="M2" s="27" t="s">
        <v>865</v>
      </c>
      <c r="N2" s="32" t="s">
        <v>231</v>
      </c>
      <c r="O2" s="33" t="s">
        <v>232</v>
      </c>
      <c r="P2" s="34" t="s">
        <v>866</v>
      </c>
      <c r="Q2" s="35" t="s">
        <v>349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7"/>
      <c r="BD2" s="38" t="s">
        <v>235</v>
      </c>
      <c r="BE2" s="39" t="s">
        <v>236</v>
      </c>
      <c r="BF2" s="40"/>
      <c r="BG2" s="41" t="s">
        <v>242</v>
      </c>
      <c r="BH2" s="42" t="s">
        <v>867</v>
      </c>
      <c r="BI2" s="42" t="s">
        <v>868</v>
      </c>
      <c r="BJ2" s="43" t="s">
        <v>357</v>
      </c>
      <c r="BK2" s="42" t="s">
        <v>6</v>
      </c>
    </row>
    <row r="3" ht="25.5" customHeight="1" spans="1:63">
      <c r="A3" s="44"/>
      <c r="B3" s="40"/>
      <c r="C3" s="40"/>
      <c r="D3" s="45"/>
      <c r="E3" s="40"/>
      <c r="F3" s="40"/>
      <c r="G3" s="40"/>
      <c r="H3" s="45"/>
      <c r="I3" s="40"/>
      <c r="J3" s="40"/>
      <c r="K3" s="46"/>
      <c r="L3" s="40"/>
      <c r="M3" s="40"/>
      <c r="N3" s="40"/>
      <c r="O3" s="40"/>
      <c r="P3" s="45"/>
      <c r="Q3" s="47">
        <v>45589</v>
      </c>
      <c r="R3" s="47">
        <v>45590</v>
      </c>
      <c r="S3" s="47">
        <v>45591</v>
      </c>
      <c r="T3" s="47">
        <v>45592</v>
      </c>
      <c r="U3" s="47">
        <v>45593</v>
      </c>
      <c r="V3" s="47">
        <v>45594</v>
      </c>
      <c r="W3" s="47">
        <v>45595</v>
      </c>
      <c r="X3" s="47">
        <v>45596</v>
      </c>
      <c r="Y3" s="47">
        <v>45597</v>
      </c>
      <c r="Z3" s="47">
        <v>45598</v>
      </c>
      <c r="AA3" s="47">
        <v>45599</v>
      </c>
      <c r="AB3" s="47">
        <v>45600</v>
      </c>
      <c r="AC3" s="47">
        <v>45601</v>
      </c>
      <c r="AD3" s="47">
        <v>45602</v>
      </c>
      <c r="AE3" s="47">
        <v>45603</v>
      </c>
      <c r="AF3" s="47">
        <v>45604</v>
      </c>
      <c r="AG3" s="47">
        <v>45605</v>
      </c>
      <c r="AH3" s="47">
        <v>45606</v>
      </c>
      <c r="AI3" s="47">
        <v>45607</v>
      </c>
      <c r="AJ3" s="47">
        <v>45608</v>
      </c>
      <c r="AK3" s="47">
        <v>45609</v>
      </c>
      <c r="AL3" s="47">
        <v>45610</v>
      </c>
      <c r="AM3" s="47">
        <v>45611</v>
      </c>
      <c r="AN3" s="47">
        <v>45612</v>
      </c>
      <c r="AO3" s="47">
        <v>45613</v>
      </c>
      <c r="AP3" s="47">
        <v>45614</v>
      </c>
      <c r="AQ3" s="47">
        <v>45615</v>
      </c>
      <c r="AR3" s="47">
        <v>45616</v>
      </c>
      <c r="AS3" s="47">
        <v>45617</v>
      </c>
      <c r="AT3" s="47">
        <v>45618</v>
      </c>
      <c r="AU3" s="47">
        <v>45619</v>
      </c>
      <c r="AV3" s="48">
        <v>45620</v>
      </c>
      <c r="AW3" s="48">
        <v>45621</v>
      </c>
      <c r="AX3" s="48">
        <v>45622</v>
      </c>
      <c r="AY3" s="48">
        <v>45623</v>
      </c>
      <c r="AZ3" s="48">
        <v>45624</v>
      </c>
      <c r="BA3" s="48">
        <v>45625</v>
      </c>
      <c r="BB3" s="48">
        <v>45626</v>
      </c>
      <c r="BC3" s="48">
        <v>45627</v>
      </c>
      <c r="BD3" s="49"/>
      <c r="BE3" s="50" t="s">
        <v>357</v>
      </c>
      <c r="BF3" s="50" t="s">
        <v>244</v>
      </c>
      <c r="BG3" s="46"/>
      <c r="BH3" s="40"/>
      <c r="BI3" s="40"/>
      <c r="BJ3" s="45"/>
      <c r="BK3" s="40"/>
    </row>
    <row r="4" ht="26.25" customHeight="1" spans="1:63">
      <c r="A4" s="51" t="s">
        <v>869</v>
      </c>
      <c r="B4" s="52" t="s">
        <v>821</v>
      </c>
      <c r="C4" s="53"/>
      <c r="D4" s="54"/>
      <c r="E4" s="55"/>
      <c r="F4" s="56"/>
      <c r="G4" s="57"/>
      <c r="H4" s="54"/>
      <c r="I4" s="58" t="s">
        <v>870</v>
      </c>
      <c r="J4" s="59" t="s">
        <v>871</v>
      </c>
      <c r="K4" s="60"/>
      <c r="L4" s="61">
        <v>45587</v>
      </c>
      <c r="M4" s="52">
        <v>46</v>
      </c>
      <c r="N4" s="62"/>
      <c r="O4" s="63">
        <v>47</v>
      </c>
      <c r="P4" s="64"/>
      <c r="Q4" s="65">
        <v>47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7"/>
      <c r="AV4" s="68"/>
      <c r="AW4" s="68"/>
      <c r="AX4" s="68"/>
      <c r="AY4" s="68"/>
      <c r="AZ4" s="68"/>
      <c r="BA4" s="68"/>
      <c r="BB4" s="68"/>
      <c r="BC4" s="68"/>
      <c r="BD4" s="69"/>
      <c r="BE4" s="70"/>
      <c r="BF4" s="52"/>
      <c r="BG4" s="71"/>
      <c r="BH4" s="54"/>
      <c r="BI4" s="72"/>
      <c r="BJ4" s="73"/>
      <c r="BK4" s="45"/>
    </row>
    <row r="5" ht="26.25" customHeight="1" spans="1:63">
      <c r="A5" s="74" t="s">
        <v>872</v>
      </c>
      <c r="B5" s="52" t="s">
        <v>821</v>
      </c>
      <c r="C5" s="53" t="s">
        <v>247</v>
      </c>
      <c r="D5" s="52" t="s">
        <v>873</v>
      </c>
      <c r="E5" s="75" t="s">
        <v>874</v>
      </c>
      <c r="F5" s="76"/>
      <c r="G5" s="76"/>
      <c r="H5" s="53" t="s">
        <v>283</v>
      </c>
      <c r="I5" s="77" t="s">
        <v>875</v>
      </c>
      <c r="J5" s="78" t="s">
        <v>876</v>
      </c>
      <c r="K5" s="79" t="s">
        <v>877</v>
      </c>
      <c r="L5" s="80">
        <v>45531</v>
      </c>
      <c r="M5" s="79">
        <v>10000</v>
      </c>
      <c r="N5" s="81">
        <v>2400</v>
      </c>
      <c r="O5" s="82">
        <f>M5-N5</f>
        <v>7600</v>
      </c>
      <c r="P5" s="51">
        <f>SUM(O5:O7)</f>
        <v>14400</v>
      </c>
      <c r="Q5" s="83">
        <v>1000</v>
      </c>
      <c r="R5" s="65"/>
      <c r="S5" s="65">
        <v>50</v>
      </c>
      <c r="T5" s="65"/>
      <c r="U5" s="65"/>
      <c r="V5" s="65"/>
      <c r="W5" s="65"/>
      <c r="X5" s="65"/>
      <c r="Y5" s="65"/>
      <c r="Z5" s="65"/>
      <c r="AA5" s="65"/>
      <c r="AB5" s="65"/>
      <c r="AC5" s="65"/>
      <c r="AD5" s="65">
        <v>2000</v>
      </c>
      <c r="AE5" s="65"/>
      <c r="AF5" s="65">
        <v>3000</v>
      </c>
      <c r="AG5" s="65"/>
      <c r="AH5" s="65">
        <v>3000</v>
      </c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84"/>
      <c r="BE5" s="70" t="s">
        <v>878</v>
      </c>
      <c r="BF5" s="52"/>
      <c r="BG5" s="71">
        <f ca="1">B$1-L5</f>
        <v>438</v>
      </c>
      <c r="BH5" s="53" t="s">
        <v>879</v>
      </c>
      <c r="BI5" s="85" t="s">
        <v>880</v>
      </c>
      <c r="BJ5" s="46" t="s">
        <v>881</v>
      </c>
      <c r="BK5" s="40"/>
    </row>
    <row r="6" ht="26.25" customHeight="1" spans="1:63">
      <c r="A6" s="44"/>
      <c r="B6" s="86" t="s">
        <v>821</v>
      </c>
      <c r="C6" s="53" t="s">
        <v>247</v>
      </c>
      <c r="D6" s="53"/>
      <c r="E6" s="55" t="s">
        <v>874</v>
      </c>
      <c r="F6" s="56"/>
      <c r="G6" s="57"/>
      <c r="H6" s="53" t="s">
        <v>283</v>
      </c>
      <c r="I6" s="87"/>
      <c r="J6" s="78" t="s">
        <v>882</v>
      </c>
      <c r="K6" s="88" t="s">
        <v>883</v>
      </c>
      <c r="L6" s="61">
        <v>45561</v>
      </c>
      <c r="M6" s="52">
        <v>1800</v>
      </c>
      <c r="N6" s="62"/>
      <c r="O6" s="82">
        <f>M6-N6</f>
        <v>1800</v>
      </c>
      <c r="P6" s="40"/>
      <c r="Q6" s="89"/>
      <c r="R6" s="49"/>
      <c r="S6" s="90"/>
      <c r="T6" s="89"/>
      <c r="U6" s="90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90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91"/>
      <c r="AW6" s="91"/>
      <c r="AX6" s="91"/>
      <c r="AY6" s="91"/>
      <c r="AZ6" s="91"/>
      <c r="BA6" s="91"/>
      <c r="BB6" s="91"/>
      <c r="BC6" s="91"/>
      <c r="BD6" s="40"/>
      <c r="BE6" s="70" t="s">
        <v>878</v>
      </c>
      <c r="BF6" s="52"/>
      <c r="BG6" s="71">
        <f ca="1">B$1-L6</f>
        <v>408</v>
      </c>
      <c r="BH6" s="53" t="s">
        <v>884</v>
      </c>
      <c r="BI6" s="85" t="s">
        <v>885</v>
      </c>
      <c r="BJ6" s="46"/>
      <c r="BK6" s="40"/>
    </row>
    <row r="7" ht="26.25" customHeight="1" spans="1:63">
      <c r="A7" s="74"/>
      <c r="B7" s="52" t="s">
        <v>821</v>
      </c>
      <c r="C7" s="53"/>
      <c r="D7" s="53"/>
      <c r="E7" s="55" t="s">
        <v>874</v>
      </c>
      <c r="F7" s="56"/>
      <c r="G7" s="57"/>
      <c r="H7" s="53"/>
      <c r="I7" s="87"/>
      <c r="J7" s="53" t="s">
        <v>886</v>
      </c>
      <c r="K7" s="53" t="s">
        <v>887</v>
      </c>
      <c r="L7" s="80">
        <v>45590</v>
      </c>
      <c r="M7" s="52">
        <v>5000</v>
      </c>
      <c r="N7" s="92"/>
      <c r="O7" s="82">
        <v>5000</v>
      </c>
      <c r="P7" s="40"/>
      <c r="Q7" s="83"/>
      <c r="R7" s="49"/>
      <c r="S7" s="65"/>
      <c r="T7" s="65"/>
      <c r="U7" s="65"/>
      <c r="V7" s="66"/>
      <c r="W7" s="66"/>
      <c r="X7" s="66"/>
      <c r="Y7" s="66"/>
      <c r="Z7" s="66"/>
      <c r="AA7" s="66"/>
      <c r="AB7" s="66"/>
      <c r="AC7" s="66"/>
      <c r="AD7" s="65"/>
      <c r="AE7" s="66"/>
      <c r="AF7" s="65"/>
      <c r="AG7" s="66"/>
      <c r="AH7" s="65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8"/>
      <c r="AW7" s="68"/>
      <c r="AX7" s="68"/>
      <c r="AY7" s="68"/>
      <c r="AZ7" s="68"/>
      <c r="BA7" s="68"/>
      <c r="BB7" s="68"/>
      <c r="BC7" s="68"/>
      <c r="BD7" s="40"/>
      <c r="BE7" s="70"/>
      <c r="BF7" s="52"/>
      <c r="BG7" s="71"/>
      <c r="BH7" s="53"/>
      <c r="BI7" s="85"/>
      <c r="BJ7" s="46"/>
      <c r="BK7" s="40"/>
    </row>
    <row r="8" ht="26.25" customHeight="1" spans="1:63">
      <c r="A8" s="44"/>
      <c r="B8" s="93" t="s">
        <v>821</v>
      </c>
      <c r="C8" s="53" t="s">
        <v>247</v>
      </c>
      <c r="D8" s="53" t="s">
        <v>888</v>
      </c>
      <c r="E8" s="53" t="s">
        <v>889</v>
      </c>
      <c r="F8" s="94"/>
      <c r="G8" s="94"/>
      <c r="H8" s="53" t="s">
        <v>283</v>
      </c>
      <c r="I8" s="88" t="s">
        <v>870</v>
      </c>
      <c r="J8" s="95" t="s">
        <v>890</v>
      </c>
      <c r="K8" s="54" t="s">
        <v>891</v>
      </c>
      <c r="L8" s="61">
        <v>45558</v>
      </c>
      <c r="M8" s="52">
        <v>3000</v>
      </c>
      <c r="N8" s="92">
        <f>1000+300</f>
        <v>1300</v>
      </c>
      <c r="O8" s="63">
        <f t="shared" ref="O8:O15" si="0">M8-N8</f>
        <v>1700</v>
      </c>
      <c r="P8" s="96">
        <f>SUM(O8:O9)</f>
        <v>10700</v>
      </c>
      <c r="Q8" s="68"/>
      <c r="R8" s="68"/>
      <c r="S8" s="51">
        <v>2500</v>
      </c>
      <c r="T8" s="68"/>
      <c r="U8" s="51">
        <v>2500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51">
        <v>2000</v>
      </c>
      <c r="AH8" s="68"/>
      <c r="AI8" s="68"/>
      <c r="AJ8" s="68"/>
      <c r="AK8" s="68"/>
      <c r="AL8" s="68"/>
      <c r="AM8" s="68"/>
      <c r="AN8" s="68"/>
      <c r="AO8" s="68"/>
      <c r="AP8" s="68"/>
      <c r="AQ8" s="51">
        <v>1000</v>
      </c>
      <c r="AR8" s="68"/>
      <c r="AS8" s="68"/>
      <c r="AT8" s="68"/>
      <c r="AU8" s="97"/>
      <c r="AV8" s="68"/>
      <c r="AW8" s="68"/>
      <c r="AX8" s="68"/>
      <c r="AY8" s="68"/>
      <c r="AZ8" s="68"/>
      <c r="BA8" s="68"/>
      <c r="BB8" s="68"/>
      <c r="BC8" s="68"/>
      <c r="BD8" s="69"/>
      <c r="BE8" s="70" t="s">
        <v>878</v>
      </c>
      <c r="BF8" s="52"/>
      <c r="BG8" s="71">
        <f ca="1" t="shared" ref="BG8:BG15" si="1">B$1-L8</f>
        <v>411</v>
      </c>
      <c r="BH8" s="53" t="s">
        <v>892</v>
      </c>
      <c r="BI8" s="85" t="s">
        <v>893</v>
      </c>
      <c r="BJ8" s="46"/>
      <c r="BK8" s="40"/>
    </row>
    <row r="9" ht="26.25" customHeight="1" spans="1:63">
      <c r="A9" s="44"/>
      <c r="B9" s="86" t="s">
        <v>821</v>
      </c>
      <c r="C9" s="53" t="s">
        <v>247</v>
      </c>
      <c r="D9" s="53"/>
      <c r="E9" s="53" t="s">
        <v>889</v>
      </c>
      <c r="F9" s="94"/>
      <c r="G9" s="94"/>
      <c r="H9" s="53" t="s">
        <v>283</v>
      </c>
      <c r="I9" s="98"/>
      <c r="J9" s="54" t="s">
        <v>882</v>
      </c>
      <c r="K9" s="54" t="s">
        <v>883</v>
      </c>
      <c r="L9" s="99">
        <v>45561</v>
      </c>
      <c r="M9" s="100">
        <v>9000</v>
      </c>
      <c r="N9" s="92"/>
      <c r="O9" s="63">
        <f t="shared" si="0"/>
        <v>9000</v>
      </c>
      <c r="P9" s="101"/>
      <c r="Q9" s="91"/>
      <c r="R9" s="91"/>
      <c r="S9" s="89"/>
      <c r="T9" s="91"/>
      <c r="U9" s="89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91"/>
      <c r="AS9" s="91"/>
      <c r="AT9" s="91"/>
      <c r="AU9" s="102"/>
      <c r="AV9" s="91"/>
      <c r="AW9" s="91"/>
      <c r="AX9" s="91"/>
      <c r="AY9" s="91"/>
      <c r="AZ9" s="91"/>
      <c r="BA9" s="91"/>
      <c r="BB9" s="91"/>
      <c r="BC9" s="91"/>
      <c r="BD9" s="84"/>
      <c r="BE9" s="70" t="s">
        <v>878</v>
      </c>
      <c r="BF9" s="52"/>
      <c r="BG9" s="71">
        <f ca="1" t="shared" si="1"/>
        <v>408</v>
      </c>
      <c r="BH9" s="53" t="s">
        <v>892</v>
      </c>
      <c r="BI9" s="85" t="s">
        <v>894</v>
      </c>
      <c r="BJ9" s="46" t="s">
        <v>881</v>
      </c>
      <c r="BK9" s="40"/>
    </row>
    <row r="10" ht="26.25" customHeight="1" spans="1:63">
      <c r="A10" s="44"/>
      <c r="B10" s="93" t="s">
        <v>821</v>
      </c>
      <c r="C10" s="53" t="s">
        <v>247</v>
      </c>
      <c r="D10" s="53" t="s">
        <v>895</v>
      </c>
      <c r="E10" s="93" t="s">
        <v>896</v>
      </c>
      <c r="F10" s="103"/>
      <c r="G10" s="104"/>
      <c r="H10" s="53" t="s">
        <v>283</v>
      </c>
      <c r="I10" s="88" t="s">
        <v>822</v>
      </c>
      <c r="J10" s="60" t="s">
        <v>897</v>
      </c>
      <c r="K10" s="105" t="s">
        <v>898</v>
      </c>
      <c r="L10" s="61">
        <v>45538</v>
      </c>
      <c r="M10" s="52">
        <v>7000</v>
      </c>
      <c r="N10" s="62">
        <f>1105+3800+2095</f>
        <v>7000</v>
      </c>
      <c r="O10" s="82">
        <f t="shared" si="0"/>
        <v>0</v>
      </c>
      <c r="P10" s="51">
        <f>SUM(O11:O16)</f>
        <v>34295</v>
      </c>
      <c r="Q10" s="106">
        <f>1100+1900</f>
        <v>3000</v>
      </c>
      <c r="R10" s="107"/>
      <c r="S10" s="107">
        <v>400</v>
      </c>
      <c r="T10" s="107"/>
      <c r="U10" s="107"/>
      <c r="V10" s="107"/>
      <c r="W10" s="107">
        <v>1000</v>
      </c>
      <c r="X10" s="107">
        <v>3000</v>
      </c>
      <c r="Y10" s="107">
        <v>3000</v>
      </c>
      <c r="Z10" s="107">
        <v>3000</v>
      </c>
      <c r="AA10" s="107"/>
      <c r="AB10" s="107">
        <v>3000</v>
      </c>
      <c r="AC10" s="107"/>
      <c r="AD10" s="107"/>
      <c r="AE10" s="107"/>
      <c r="AF10" s="108"/>
      <c r="AG10" s="109"/>
      <c r="AH10" s="109"/>
      <c r="AI10" s="109"/>
      <c r="AJ10" s="109"/>
      <c r="AK10" s="109"/>
      <c r="AL10" s="109"/>
      <c r="AM10" s="109">
        <v>1100</v>
      </c>
      <c r="AN10" s="109"/>
      <c r="AO10" s="109"/>
      <c r="AP10" s="109"/>
      <c r="AQ10" s="109"/>
      <c r="AR10" s="110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11"/>
      <c r="BE10" s="112" t="s">
        <v>878</v>
      </c>
      <c r="BF10" s="52"/>
      <c r="BG10" s="71">
        <f ca="1" t="shared" si="1"/>
        <v>431</v>
      </c>
      <c r="BH10" s="53" t="s">
        <v>892</v>
      </c>
      <c r="BI10" s="113" t="s">
        <v>899</v>
      </c>
      <c r="BJ10" s="114"/>
      <c r="BK10" s="40"/>
    </row>
    <row r="11" ht="26.25" customHeight="1" spans="1:63">
      <c r="A11" s="44"/>
      <c r="B11" s="93" t="s">
        <v>821</v>
      </c>
      <c r="C11" s="53" t="s">
        <v>247</v>
      </c>
      <c r="D11" s="53" t="s">
        <v>888</v>
      </c>
      <c r="E11" s="53" t="s">
        <v>896</v>
      </c>
      <c r="F11" s="94"/>
      <c r="G11" s="94"/>
      <c r="H11" s="53" t="s">
        <v>283</v>
      </c>
      <c r="I11" s="49"/>
      <c r="J11" s="53" t="s">
        <v>890</v>
      </c>
      <c r="K11" s="95" t="s">
        <v>891</v>
      </c>
      <c r="L11" s="61">
        <v>45558</v>
      </c>
      <c r="M11" s="52">
        <v>8000</v>
      </c>
      <c r="N11" s="62">
        <v>3905</v>
      </c>
      <c r="O11" s="82">
        <f t="shared" si="0"/>
        <v>4095</v>
      </c>
      <c r="P11" s="40"/>
      <c r="Q11" s="49"/>
      <c r="R11" s="40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6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7"/>
      <c r="AS11" s="115"/>
      <c r="AT11" s="115"/>
      <c r="AU11" s="115"/>
      <c r="AV11" s="115"/>
      <c r="AW11" s="115"/>
      <c r="AX11" s="115"/>
      <c r="AY11" s="91"/>
      <c r="AZ11" s="91"/>
      <c r="BA11" s="91"/>
      <c r="BB11" s="91"/>
      <c r="BC11" s="91"/>
      <c r="BD11" s="84"/>
      <c r="BE11" s="112" t="s">
        <v>878</v>
      </c>
      <c r="BF11" s="52"/>
      <c r="BG11" s="71">
        <f ca="1" t="shared" si="1"/>
        <v>411</v>
      </c>
      <c r="BH11" s="60" t="s">
        <v>900</v>
      </c>
      <c r="BI11" s="103" t="s">
        <v>901</v>
      </c>
      <c r="BJ11" s="40" t="s">
        <v>881</v>
      </c>
      <c r="BK11" s="76"/>
    </row>
    <row r="12" ht="26.25" customHeight="1" spans="1:63">
      <c r="A12" s="44"/>
      <c r="B12" s="86" t="s">
        <v>821</v>
      </c>
      <c r="C12" s="53" t="s">
        <v>247</v>
      </c>
      <c r="D12" s="53"/>
      <c r="E12" s="53" t="s">
        <v>896</v>
      </c>
      <c r="F12" s="94"/>
      <c r="G12" s="94"/>
      <c r="H12" s="53" t="s">
        <v>283</v>
      </c>
      <c r="I12" s="49"/>
      <c r="J12" s="60" t="s">
        <v>882</v>
      </c>
      <c r="K12" s="53" t="s">
        <v>883</v>
      </c>
      <c r="L12" s="61">
        <v>45561</v>
      </c>
      <c r="M12" s="52">
        <v>5000</v>
      </c>
      <c r="N12" s="62"/>
      <c r="O12" s="82">
        <f t="shared" si="0"/>
        <v>5000</v>
      </c>
      <c r="P12" s="40"/>
      <c r="Q12" s="49"/>
      <c r="R12" s="40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102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118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84"/>
      <c r="BE12" s="70" t="s">
        <v>878</v>
      </c>
      <c r="BF12" s="52"/>
      <c r="BG12" s="71">
        <f ca="1" t="shared" si="1"/>
        <v>408</v>
      </c>
      <c r="BH12" s="53" t="s">
        <v>900</v>
      </c>
      <c r="BI12" s="85" t="s">
        <v>901</v>
      </c>
      <c r="BJ12" s="46" t="s">
        <v>881</v>
      </c>
      <c r="BK12" s="40"/>
    </row>
    <row r="13" ht="26.25" customHeight="1" spans="1:63">
      <c r="A13" s="44"/>
      <c r="B13" s="86" t="s">
        <v>821</v>
      </c>
      <c r="C13" s="53" t="s">
        <v>247</v>
      </c>
      <c r="D13" s="53"/>
      <c r="E13" s="53" t="s">
        <v>896</v>
      </c>
      <c r="F13" s="94"/>
      <c r="G13" s="94"/>
      <c r="H13" s="53" t="s">
        <v>283</v>
      </c>
      <c r="I13" s="49"/>
      <c r="J13" s="88" t="s">
        <v>902</v>
      </c>
      <c r="K13" s="119" t="s">
        <v>903</v>
      </c>
      <c r="L13" s="61">
        <v>45582</v>
      </c>
      <c r="M13" s="52">
        <v>2000</v>
      </c>
      <c r="N13" s="62"/>
      <c r="O13" s="82">
        <f t="shared" si="0"/>
        <v>2000</v>
      </c>
      <c r="P13" s="40"/>
      <c r="Q13" s="49"/>
      <c r="R13" s="40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102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118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84"/>
      <c r="BE13" s="112"/>
      <c r="BF13" s="52"/>
      <c r="BG13" s="71">
        <f ca="1" t="shared" si="1"/>
        <v>387</v>
      </c>
      <c r="BH13" s="60" t="s">
        <v>904</v>
      </c>
      <c r="BI13" s="103"/>
      <c r="BJ13" s="40"/>
      <c r="BK13" s="76"/>
    </row>
    <row r="14" ht="26.25" customHeight="1" spans="1:63">
      <c r="A14" s="44"/>
      <c r="B14" s="86" t="s">
        <v>821</v>
      </c>
      <c r="C14" s="53" t="s">
        <v>247</v>
      </c>
      <c r="D14" s="53"/>
      <c r="E14" s="53" t="s">
        <v>896</v>
      </c>
      <c r="F14" s="94"/>
      <c r="G14" s="94"/>
      <c r="H14" s="53" t="s">
        <v>283</v>
      </c>
      <c r="I14" s="49"/>
      <c r="J14" s="53" t="s">
        <v>902</v>
      </c>
      <c r="K14" s="120" t="s">
        <v>903</v>
      </c>
      <c r="L14" s="61">
        <v>45582</v>
      </c>
      <c r="M14" s="52">
        <v>200</v>
      </c>
      <c r="N14" s="62"/>
      <c r="O14" s="82">
        <f t="shared" si="0"/>
        <v>200</v>
      </c>
      <c r="P14" s="40"/>
      <c r="Q14" s="49"/>
      <c r="R14" s="40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102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118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84"/>
      <c r="BE14" s="112"/>
      <c r="BF14" s="52"/>
      <c r="BG14" s="71">
        <f ca="1" t="shared" si="1"/>
        <v>387</v>
      </c>
      <c r="BH14" s="60" t="s">
        <v>904</v>
      </c>
      <c r="BI14" s="103"/>
      <c r="BJ14" s="40"/>
      <c r="BK14" s="76"/>
    </row>
    <row r="15" ht="26.25" customHeight="1" spans="1:63">
      <c r="A15" s="44"/>
      <c r="B15" s="121" t="s">
        <v>821</v>
      </c>
      <c r="C15" s="88" t="s">
        <v>247</v>
      </c>
      <c r="D15" s="88"/>
      <c r="E15" s="88" t="s">
        <v>896</v>
      </c>
      <c r="F15" s="122"/>
      <c r="G15" s="122"/>
      <c r="H15" s="88" t="s">
        <v>283</v>
      </c>
      <c r="I15" s="101"/>
      <c r="J15" s="53" t="s">
        <v>905</v>
      </c>
      <c r="K15" s="78" t="s">
        <v>906</v>
      </c>
      <c r="L15" s="80">
        <v>45586</v>
      </c>
      <c r="M15" s="79">
        <v>12000</v>
      </c>
      <c r="N15" s="81"/>
      <c r="O15" s="123">
        <f t="shared" si="0"/>
        <v>12000</v>
      </c>
      <c r="P15" s="40"/>
      <c r="Q15" s="49"/>
      <c r="R15" s="90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124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125"/>
      <c r="AS15" s="89"/>
      <c r="AT15" s="89"/>
      <c r="AU15" s="89"/>
      <c r="AV15" s="91"/>
      <c r="AW15" s="91"/>
      <c r="AX15" s="91"/>
      <c r="AY15" s="91"/>
      <c r="AZ15" s="91"/>
      <c r="BA15" s="91"/>
      <c r="BB15" s="91"/>
      <c r="BC15" s="91"/>
      <c r="BD15" s="84"/>
      <c r="BE15" s="126"/>
      <c r="BF15" s="52"/>
      <c r="BG15" s="71">
        <f ca="1" t="shared" si="1"/>
        <v>383</v>
      </c>
      <c r="BH15" s="53" t="s">
        <v>907</v>
      </c>
      <c r="BI15" s="72"/>
      <c r="BJ15" s="73"/>
      <c r="BK15" s="40"/>
    </row>
    <row r="16" ht="26.25" customHeight="1" spans="1:63">
      <c r="A16" s="74"/>
      <c r="B16" s="93" t="s">
        <v>821</v>
      </c>
      <c r="C16" s="88"/>
      <c r="D16" s="88"/>
      <c r="E16" s="88" t="s">
        <v>896</v>
      </c>
      <c r="F16" s="122"/>
      <c r="G16" s="122"/>
      <c r="H16" s="88"/>
      <c r="I16" s="101"/>
      <c r="J16" s="53" t="s">
        <v>886</v>
      </c>
      <c r="K16" s="78" t="s">
        <v>887</v>
      </c>
      <c r="L16" s="80">
        <v>45590</v>
      </c>
      <c r="M16" s="79">
        <v>11000</v>
      </c>
      <c r="N16" s="81"/>
      <c r="O16" s="123">
        <v>11000</v>
      </c>
      <c r="P16" s="40"/>
      <c r="Q16" s="49"/>
      <c r="R16" s="65"/>
      <c r="S16" s="127"/>
      <c r="T16" s="65"/>
      <c r="U16" s="65"/>
      <c r="V16" s="65"/>
      <c r="W16" s="127"/>
      <c r="X16" s="65"/>
      <c r="Y16" s="65"/>
      <c r="Z16" s="65"/>
      <c r="AA16" s="65"/>
      <c r="AB16" s="65"/>
      <c r="AC16" s="65"/>
      <c r="AD16" s="65"/>
      <c r="AE16" s="65"/>
      <c r="AF16" s="128"/>
      <c r="AG16" s="51"/>
      <c r="AH16" s="51"/>
      <c r="AI16" s="51"/>
      <c r="AJ16" s="51"/>
      <c r="AK16" s="51"/>
      <c r="AL16" s="51"/>
      <c r="AM16" s="129"/>
      <c r="AN16" s="51"/>
      <c r="AO16" s="51"/>
      <c r="AP16" s="51"/>
      <c r="AQ16" s="51"/>
      <c r="AR16" s="130"/>
      <c r="AS16" s="65"/>
      <c r="AT16" s="65"/>
      <c r="AU16" s="65"/>
      <c r="AV16" s="51"/>
      <c r="AW16" s="51"/>
      <c r="AX16" s="51"/>
      <c r="AY16" s="51"/>
      <c r="AZ16" s="51"/>
      <c r="BA16" s="51"/>
      <c r="BB16" s="51"/>
      <c r="BC16" s="51"/>
      <c r="BD16" s="84"/>
      <c r="BE16" s="126"/>
      <c r="BF16" s="75"/>
      <c r="BG16" s="71"/>
      <c r="BH16" s="53"/>
      <c r="BI16" s="72"/>
      <c r="BJ16" s="73"/>
      <c r="BK16" s="40"/>
    </row>
    <row r="17" ht="26.25" customHeight="1" spans="1:63">
      <c r="A17" s="44"/>
      <c r="B17" s="93" t="s">
        <v>821</v>
      </c>
      <c r="C17" s="53" t="s">
        <v>247</v>
      </c>
      <c r="D17" s="52" t="s">
        <v>908</v>
      </c>
      <c r="E17" s="52" t="s">
        <v>909</v>
      </c>
      <c r="F17" s="52"/>
      <c r="G17" s="52"/>
      <c r="H17" s="53" t="s">
        <v>247</v>
      </c>
      <c r="I17" s="52" t="s">
        <v>99</v>
      </c>
      <c r="J17" s="53" t="s">
        <v>910</v>
      </c>
      <c r="K17" s="52" t="s">
        <v>911</v>
      </c>
      <c r="L17" s="61">
        <v>45546</v>
      </c>
      <c r="M17" s="52">
        <v>312</v>
      </c>
      <c r="N17" s="62">
        <f>260+52</f>
        <v>312</v>
      </c>
      <c r="O17" s="63">
        <f>M17-N17</f>
        <v>0</v>
      </c>
      <c r="P17" s="128">
        <f>O18</f>
        <v>41955</v>
      </c>
      <c r="Q17" s="97"/>
      <c r="R17" s="131"/>
      <c r="S17" s="68"/>
      <c r="T17" s="131"/>
      <c r="U17" s="131"/>
      <c r="V17" s="132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3"/>
      <c r="AH17" s="133"/>
      <c r="AI17" s="133"/>
      <c r="AJ17" s="133"/>
      <c r="AK17" s="133"/>
      <c r="AL17" s="133"/>
      <c r="AM17" s="133"/>
      <c r="AN17" s="134"/>
      <c r="AO17" s="134"/>
      <c r="AP17" s="134"/>
      <c r="AQ17" s="135"/>
      <c r="AR17" s="68"/>
      <c r="AS17" s="68"/>
      <c r="AT17" s="68"/>
      <c r="AU17" s="97"/>
      <c r="AV17" s="68"/>
      <c r="AW17" s="68"/>
      <c r="AX17" s="68"/>
      <c r="AY17" s="68"/>
      <c r="AZ17" s="68"/>
      <c r="BA17" s="68"/>
      <c r="BB17" s="68"/>
      <c r="BC17" s="68"/>
      <c r="BD17" s="136" t="s">
        <v>912</v>
      </c>
      <c r="BE17" s="112" t="s">
        <v>878</v>
      </c>
      <c r="BF17" s="75"/>
      <c r="BG17" s="71">
        <f ca="1">B$1-L17</f>
        <v>423</v>
      </c>
      <c r="BH17" s="53" t="s">
        <v>913</v>
      </c>
      <c r="BI17" s="85"/>
      <c r="BJ17" s="46"/>
      <c r="BK17" s="40"/>
    </row>
    <row r="18" ht="26.25" customHeight="1" spans="1:63">
      <c r="A18" s="44"/>
      <c r="B18" s="93" t="s">
        <v>821</v>
      </c>
      <c r="C18" s="53"/>
      <c r="D18" s="53"/>
      <c r="E18" s="53" t="s">
        <v>914</v>
      </c>
      <c r="F18" s="94"/>
      <c r="G18" s="94"/>
      <c r="H18" s="53"/>
      <c r="I18" s="40"/>
      <c r="J18" s="137" t="s">
        <v>915</v>
      </c>
      <c r="K18" s="53" t="s">
        <v>916</v>
      </c>
      <c r="L18" s="61">
        <v>45558</v>
      </c>
      <c r="M18" s="52">
        <v>42000</v>
      </c>
      <c r="N18" s="62">
        <f>5+40</f>
        <v>45</v>
      </c>
      <c r="O18" s="63">
        <f>M18-N18</f>
        <v>41955</v>
      </c>
      <c r="P18" s="73"/>
      <c r="Q18" s="116"/>
      <c r="R18" s="138">
        <v>45</v>
      </c>
      <c r="S18" s="139"/>
      <c r="T18" s="51">
        <v>500</v>
      </c>
      <c r="U18" s="140"/>
      <c r="V18" s="141">
        <v>500</v>
      </c>
      <c r="W18" s="51">
        <v>500</v>
      </c>
      <c r="X18" s="51">
        <v>500</v>
      </c>
      <c r="Y18" s="142">
        <v>700</v>
      </c>
      <c r="Z18" s="51">
        <v>700</v>
      </c>
      <c r="AA18" s="51">
        <v>1000</v>
      </c>
      <c r="AB18" s="51">
        <v>1000</v>
      </c>
      <c r="AC18" s="51">
        <v>1300</v>
      </c>
      <c r="AD18" s="143">
        <v>1300</v>
      </c>
      <c r="AE18" s="51">
        <v>1500</v>
      </c>
      <c r="AF18" s="51">
        <v>1500</v>
      </c>
      <c r="AG18" s="51">
        <v>1000</v>
      </c>
      <c r="AH18" s="140"/>
      <c r="AI18" s="144">
        <v>1800</v>
      </c>
      <c r="AJ18" s="145">
        <v>2000</v>
      </c>
      <c r="AK18" s="145">
        <v>2000</v>
      </c>
      <c r="AL18" s="145">
        <v>2200</v>
      </c>
      <c r="AM18" s="146">
        <v>2200</v>
      </c>
      <c r="AN18" s="145">
        <v>2500</v>
      </c>
      <c r="AO18" s="131"/>
      <c r="AP18" s="51">
        <v>2500</v>
      </c>
      <c r="AQ18" s="51">
        <v>3000</v>
      </c>
      <c r="AR18" s="51">
        <v>3000</v>
      </c>
      <c r="AS18" s="51">
        <v>3000</v>
      </c>
      <c r="AT18" s="51">
        <v>3800</v>
      </c>
      <c r="AU18" s="140">
        <v>3800</v>
      </c>
      <c r="AV18" s="139"/>
      <c r="AW18" s="140">
        <v>3800</v>
      </c>
      <c r="AX18" s="140">
        <v>3800</v>
      </c>
      <c r="AY18" s="140">
        <v>3800</v>
      </c>
      <c r="AZ18" s="140">
        <v>3800</v>
      </c>
      <c r="BA18" s="140">
        <v>3800</v>
      </c>
      <c r="BB18" s="140">
        <v>3800</v>
      </c>
      <c r="BC18" s="147"/>
      <c r="BD18" s="84"/>
      <c r="BE18" s="112" t="s">
        <v>878</v>
      </c>
      <c r="BF18" s="75"/>
      <c r="BG18" s="71">
        <f ca="1">B$1-L18</f>
        <v>411</v>
      </c>
      <c r="BH18" s="53" t="s">
        <v>917</v>
      </c>
      <c r="BI18" s="85"/>
      <c r="BJ18" s="46"/>
      <c r="BK18" s="40"/>
    </row>
    <row r="19" ht="26.25" customHeight="1" spans="1:63">
      <c r="A19" s="148" t="s">
        <v>918</v>
      </c>
      <c r="B19" s="149" t="s">
        <v>821</v>
      </c>
      <c r="C19" s="54" t="s">
        <v>247</v>
      </c>
      <c r="D19" s="54"/>
      <c r="E19" s="54" t="s">
        <v>874</v>
      </c>
      <c r="F19" s="150"/>
      <c r="G19" s="150"/>
      <c r="H19" s="54" t="s">
        <v>283</v>
      </c>
      <c r="I19" s="54" t="s">
        <v>875</v>
      </c>
      <c r="J19" s="54" t="s">
        <v>919</v>
      </c>
      <c r="K19" s="54" t="s">
        <v>920</v>
      </c>
      <c r="L19" s="99">
        <v>45582</v>
      </c>
      <c r="M19" s="100">
        <v>1500</v>
      </c>
      <c r="N19" s="92"/>
      <c r="O19" s="151">
        <f>M19-N19</f>
        <v>1500</v>
      </c>
      <c r="P19" s="145">
        <f>O19</f>
        <v>1500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3"/>
      <c r="BE19" s="154" t="s">
        <v>878</v>
      </c>
      <c r="BF19" s="52"/>
      <c r="BG19" s="155">
        <f ca="1">B$1-L19</f>
        <v>387</v>
      </c>
      <c r="BH19" s="53" t="s">
        <v>921</v>
      </c>
      <c r="BI19" s="103" t="s">
        <v>885</v>
      </c>
      <c r="BJ19" s="156"/>
      <c r="BK19" s="40"/>
    </row>
    <row r="20" ht="26.25" customHeight="1" spans="1:63">
      <c r="A20" s="40"/>
      <c r="B20" s="93" t="s">
        <v>821</v>
      </c>
      <c r="C20" s="53" t="s">
        <v>247</v>
      </c>
      <c r="D20" s="53"/>
      <c r="E20" s="53" t="s">
        <v>896</v>
      </c>
      <c r="F20" s="94"/>
      <c r="G20" s="94"/>
      <c r="H20" s="53" t="s">
        <v>283</v>
      </c>
      <c r="I20" s="53" t="s">
        <v>822</v>
      </c>
      <c r="J20" s="53" t="s">
        <v>919</v>
      </c>
      <c r="K20" s="53" t="s">
        <v>920</v>
      </c>
      <c r="L20" s="61">
        <v>45582</v>
      </c>
      <c r="M20" s="52">
        <v>1500</v>
      </c>
      <c r="N20" s="62"/>
      <c r="O20" s="82">
        <f>M20-N20</f>
        <v>1500</v>
      </c>
      <c r="P20" s="51">
        <f>O20</f>
        <v>1500</v>
      </c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84"/>
      <c r="BE20" s="158"/>
      <c r="BF20" s="52"/>
      <c r="BG20" s="155">
        <f ca="1">B$1-L20</f>
        <v>387</v>
      </c>
      <c r="BH20" s="53" t="s">
        <v>904</v>
      </c>
      <c r="BI20" s="103"/>
      <c r="BJ20" s="76"/>
      <c r="BK20" s="76"/>
    </row>
    <row r="21" ht="15.75" customHeight="1" spans="1:63">
      <c r="A21" s="159"/>
      <c r="B21" s="149"/>
      <c r="C21" s="54"/>
      <c r="D21" s="100"/>
      <c r="E21" s="54"/>
      <c r="F21" s="160"/>
      <c r="G21" s="160"/>
      <c r="H21" s="54"/>
      <c r="I21" s="100"/>
      <c r="J21" s="54"/>
      <c r="K21" s="100"/>
      <c r="L21" s="99"/>
      <c r="M21" s="100"/>
      <c r="N21" s="161"/>
      <c r="O21" s="162"/>
      <c r="P21" s="163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5"/>
      <c r="BE21" s="166"/>
      <c r="BF21" s="100"/>
      <c r="BG21" s="167"/>
      <c r="BH21" s="54"/>
      <c r="BI21" s="72"/>
      <c r="BJ21" s="46"/>
      <c r="BK21" s="40"/>
    </row>
    <row r="22" ht="26.25" customHeight="1" spans="1:63">
      <c r="A22" s="93"/>
      <c r="B22" s="168" t="s">
        <v>821</v>
      </c>
      <c r="C22" s="53" t="s">
        <v>247</v>
      </c>
      <c r="D22" s="52"/>
      <c r="E22" s="53" t="s">
        <v>922</v>
      </c>
      <c r="F22" s="103"/>
      <c r="G22" s="103"/>
      <c r="H22" s="53" t="s">
        <v>249</v>
      </c>
      <c r="I22" s="52" t="s">
        <v>923</v>
      </c>
      <c r="J22" s="53" t="s">
        <v>924</v>
      </c>
      <c r="K22" s="100" t="s">
        <v>925</v>
      </c>
      <c r="L22" s="99">
        <v>44802</v>
      </c>
      <c r="M22" s="100">
        <v>2000</v>
      </c>
      <c r="N22" s="161">
        <v>684</v>
      </c>
      <c r="O22" s="63">
        <f>M22-N22</f>
        <v>1316</v>
      </c>
      <c r="P22" s="143">
        <f>SUM(O22)</f>
        <v>1316</v>
      </c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70"/>
      <c r="BE22" s="112"/>
      <c r="BF22" s="52"/>
      <c r="BG22" s="71">
        <f ca="1">B$1-L22</f>
        <v>1167</v>
      </c>
      <c r="BH22" s="53"/>
      <c r="BI22" s="85"/>
      <c r="BJ22" s="46"/>
      <c r="BK22" s="40"/>
    </row>
    <row r="23" ht="26.25" customHeight="1" spans="1:63">
      <c r="A23" s="40"/>
      <c r="B23" s="168" t="s">
        <v>821</v>
      </c>
      <c r="C23" s="53" t="s">
        <v>247</v>
      </c>
      <c r="D23" s="52" t="s">
        <v>926</v>
      </c>
      <c r="E23" s="53" t="s">
        <v>927</v>
      </c>
      <c r="F23" s="103"/>
      <c r="G23" s="103"/>
      <c r="H23" s="53" t="s">
        <v>247</v>
      </c>
      <c r="I23" s="52" t="s">
        <v>928</v>
      </c>
      <c r="J23" s="171" t="s">
        <v>929</v>
      </c>
      <c r="K23" s="52" t="s">
        <v>930</v>
      </c>
      <c r="L23" s="99">
        <v>45273</v>
      </c>
      <c r="M23" s="100">
        <v>7671</v>
      </c>
      <c r="N23" s="161">
        <v>7549</v>
      </c>
      <c r="O23" s="63">
        <f>M23-N23</f>
        <v>122</v>
      </c>
      <c r="P23" s="65">
        <f>SUM(O23:O24)</f>
        <v>1122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172" t="s">
        <v>931</v>
      </c>
      <c r="BE23" s="112" t="s">
        <v>269</v>
      </c>
      <c r="BF23" s="52"/>
      <c r="BG23" s="71">
        <f ca="1">B$1-L23</f>
        <v>696</v>
      </c>
      <c r="BH23" s="53"/>
      <c r="BI23" s="85"/>
      <c r="BJ23" s="46"/>
      <c r="BK23" s="40"/>
    </row>
    <row r="24" ht="26.25" customHeight="1" spans="1:63">
      <c r="A24" s="40"/>
      <c r="B24" s="168" t="s">
        <v>821</v>
      </c>
      <c r="C24" s="53" t="s">
        <v>247</v>
      </c>
      <c r="D24" s="53" t="s">
        <v>932</v>
      </c>
      <c r="E24" s="53" t="s">
        <v>933</v>
      </c>
      <c r="F24" s="103"/>
      <c r="G24" s="103"/>
      <c r="H24" s="53" t="s">
        <v>283</v>
      </c>
      <c r="I24" s="53" t="s">
        <v>928</v>
      </c>
      <c r="J24" s="53" t="s">
        <v>929</v>
      </c>
      <c r="K24" s="53" t="s">
        <v>934</v>
      </c>
      <c r="L24" s="61">
        <v>45457</v>
      </c>
      <c r="M24" s="52">
        <v>1000</v>
      </c>
      <c r="N24" s="173"/>
      <c r="O24" s="63">
        <f>M24-N24</f>
        <v>1000</v>
      </c>
      <c r="P24" s="45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174" t="s">
        <v>935</v>
      </c>
      <c r="BE24" s="112" t="s">
        <v>269</v>
      </c>
      <c r="BF24" s="52"/>
      <c r="BG24" s="71">
        <f ca="1">B$1-L24</f>
        <v>512</v>
      </c>
      <c r="BH24" s="53"/>
      <c r="BI24" s="85" t="s">
        <v>936</v>
      </c>
      <c r="BJ24" s="46"/>
      <c r="BK24" s="40"/>
    </row>
    <row r="25" ht="26.25" customHeight="1" spans="1:63">
      <c r="A25" s="40"/>
      <c r="B25" s="168" t="s">
        <v>821</v>
      </c>
      <c r="C25" s="53" t="s">
        <v>247</v>
      </c>
      <c r="D25" s="53"/>
      <c r="E25" s="53" t="s">
        <v>937</v>
      </c>
      <c r="F25" s="94"/>
      <c r="G25" s="94"/>
      <c r="H25" s="53" t="s">
        <v>247</v>
      </c>
      <c r="I25" s="53" t="s">
        <v>938</v>
      </c>
      <c r="J25" s="53" t="s">
        <v>939</v>
      </c>
      <c r="K25" s="53" t="s">
        <v>940</v>
      </c>
      <c r="L25" s="61">
        <v>45586</v>
      </c>
      <c r="M25" s="52">
        <v>1237</v>
      </c>
      <c r="N25" s="173"/>
      <c r="O25" s="63">
        <f>M25-N25</f>
        <v>1237</v>
      </c>
      <c r="P25" s="51">
        <v>1237</v>
      </c>
      <c r="Q25" s="175"/>
      <c r="R25" s="176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6">
        <v>1237</v>
      </c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84"/>
      <c r="BE25" s="112"/>
      <c r="BF25" s="52"/>
      <c r="BG25" s="71"/>
      <c r="BH25" s="53" t="s">
        <v>941</v>
      </c>
      <c r="BI25" s="85" t="s">
        <v>942</v>
      </c>
      <c r="BJ25" s="46"/>
      <c r="BK25" s="40"/>
    </row>
    <row r="26" ht="26.25" customHeight="1" spans="1:63">
      <c r="A26" s="40"/>
      <c r="B26" s="168" t="s">
        <v>821</v>
      </c>
      <c r="C26" s="53" t="s">
        <v>247</v>
      </c>
      <c r="D26" s="53"/>
      <c r="E26" s="53" t="s">
        <v>943</v>
      </c>
      <c r="F26" s="94"/>
      <c r="G26" s="94"/>
      <c r="H26" s="53" t="s">
        <v>247</v>
      </c>
      <c r="I26" s="53" t="s">
        <v>944</v>
      </c>
      <c r="J26" s="53" t="s">
        <v>945</v>
      </c>
      <c r="K26" s="53" t="s">
        <v>946</v>
      </c>
      <c r="L26" s="61">
        <v>45586</v>
      </c>
      <c r="M26" s="52">
        <v>10</v>
      </c>
      <c r="N26" s="173"/>
      <c r="O26" s="63">
        <f>M26-N26</f>
        <v>10</v>
      </c>
      <c r="P26" s="51">
        <v>10</v>
      </c>
      <c r="Q26" s="175"/>
      <c r="R26" s="176">
        <v>10</v>
      </c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84"/>
      <c r="BE26" s="112"/>
      <c r="BF26" s="52"/>
      <c r="BG26" s="71"/>
      <c r="BH26" s="53"/>
      <c r="BI26" s="85"/>
      <c r="BJ26" s="46"/>
      <c r="BK26" s="40"/>
    </row>
    <row r="27" ht="27.75" customHeight="1" spans="1:63">
      <c r="D27" s="2"/>
      <c r="I27" s="2"/>
      <c r="K27" s="2"/>
      <c r="P27" s="1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8"/>
      <c r="BE27" s="179"/>
      <c r="BF27" s="180"/>
      <c r="BG27" s="181"/>
    </row>
    <row r="28" ht="29.25" customHeight="1" spans="1:63"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182"/>
      <c r="BE28" s="179"/>
    </row>
    <row r="29" ht="22.5" customHeight="1" spans="1:63"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182"/>
      <c r="BE29" s="179"/>
    </row>
    <row r="30" ht="22.5" customHeight="1" spans="1:63">
      <c r="M30" s="4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E30" s="179"/>
    </row>
    <row r="31" ht="22.5" customHeight="1" spans="1:63">
      <c r="I31" s="2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E31" s="179"/>
    </row>
    <row r="32" ht="22.5" customHeight="1" spans="1:63"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E32" s="179"/>
    </row>
    <row r="33" ht="22.5" customHeight="1" spans="4:59"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E33" s="179"/>
    </row>
    <row r="34" ht="22.5" customHeight="1" spans="4:59"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E34" s="179"/>
    </row>
    <row r="35" ht="22.5" customHeight="1" spans="4:59"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182"/>
      <c r="BE35" s="179"/>
    </row>
    <row r="36" ht="22.5" customHeight="1" spans="4:59"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183"/>
      <c r="BE36" s="184"/>
    </row>
    <row r="37" ht="22.5" customHeight="1" spans="4:59"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E37" s="184"/>
    </row>
    <row r="38" ht="22.5" customHeight="1" spans="4:59"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183"/>
      <c r="BE38" s="184"/>
    </row>
    <row r="39" ht="22.5" customHeight="1" spans="4:59"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183"/>
      <c r="BE39" s="184"/>
    </row>
    <row r="40" ht="22.5" customHeight="1" spans="4:59"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183"/>
      <c r="BE40" s="184"/>
    </row>
    <row r="41" ht="22.5" customHeight="1" spans="4:59"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183"/>
      <c r="BE41" s="184"/>
    </row>
    <row r="42" ht="22.5" customHeight="1" spans="4:59">
      <c r="L42" s="3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183"/>
      <c r="BE42" s="184"/>
    </row>
    <row r="43" ht="22.5" customHeight="1" spans="4:59"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183"/>
      <c r="BE43" s="184"/>
    </row>
    <row r="44" ht="22.5" customHeight="1" spans="4:59"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183"/>
      <c r="BE44" s="184"/>
    </row>
    <row r="45" ht="22.5" customHeight="1" spans="4:59"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183"/>
      <c r="BE45" s="184"/>
    </row>
    <row r="46" ht="22.5" customHeight="1" spans="4:59"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183"/>
      <c r="BE46" s="184"/>
    </row>
    <row r="47" ht="27.75" customHeight="1" spans="4:59">
      <c r="D47" s="2"/>
      <c r="I47" s="2"/>
      <c r="K47" s="2"/>
      <c r="P47" s="1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8"/>
      <c r="BE47" s="179"/>
      <c r="BF47" s="180"/>
      <c r="BG47" s="181"/>
    </row>
    <row r="48" ht="29.25" customHeight="1" spans="4:59"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182"/>
      <c r="BE48" s="179"/>
    </row>
    <row r="49" ht="22.5" customHeight="1" spans="9:57">
      <c r="L49" s="11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182"/>
      <c r="BE49" s="179"/>
    </row>
    <row r="50" ht="22.5" customHeight="1" spans="9:57">
      <c r="M50" s="4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E50" s="179"/>
    </row>
    <row r="51" ht="22.5" customHeight="1" spans="9:57">
      <c r="I51" s="2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E51" s="179"/>
    </row>
    <row r="52" ht="22.5" customHeight="1" spans="9:57"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E52" s="179"/>
    </row>
    <row r="53" ht="22.5" customHeight="1" spans="9:57"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E53" s="179"/>
    </row>
    <row r="54" ht="22.5" customHeight="1" spans="9:57"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E54" s="179"/>
    </row>
    <row r="55" ht="22.5" customHeight="1" spans="9:57"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182"/>
      <c r="BE55" s="179"/>
    </row>
    <row r="56" ht="22.5" customHeight="1" spans="9:57"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183"/>
      <c r="BE56" s="184"/>
    </row>
    <row r="57" ht="22.5" customHeight="1" spans="9:57"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E57" s="184"/>
    </row>
    <row r="58" ht="22.5" customHeight="1" spans="9:57"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183"/>
      <c r="BE58" s="184"/>
    </row>
    <row r="59" ht="22.5" customHeight="1" spans="9:57"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183"/>
      <c r="BE59" s="184"/>
    </row>
    <row r="60" ht="22.5" customHeight="1" spans="9:57"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183"/>
      <c r="BE60" s="184"/>
    </row>
    <row r="61" ht="22.5" customHeight="1" spans="9:57"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183"/>
      <c r="BE61" s="184"/>
    </row>
    <row r="62" ht="22.5" customHeight="1" spans="9:57">
      <c r="L62" s="3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183"/>
      <c r="BE62" s="184"/>
    </row>
    <row r="63" ht="22.5" customHeight="1" spans="9:57"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183"/>
      <c r="BE63" s="184"/>
    </row>
    <row r="64" ht="22.5" customHeight="1" spans="9:57"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183"/>
      <c r="BE64" s="184"/>
    </row>
    <row r="65" ht="22.5" customHeight="1" spans="9:57"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183"/>
      <c r="BE65" s="184"/>
    </row>
    <row r="66" ht="29.25" customHeight="1" spans="9:57"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182"/>
      <c r="BE66" s="179"/>
    </row>
    <row r="67" ht="22.5" customHeight="1" spans="9:57">
      <c r="L67" s="11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182"/>
      <c r="BE67" s="179"/>
    </row>
    <row r="68" ht="22.5" customHeight="1" spans="9:57">
      <c r="M68" s="4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E68" s="179"/>
    </row>
    <row r="69" ht="22.5" customHeight="1" spans="9:57">
      <c r="I69" s="2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E69" s="179"/>
    </row>
    <row r="70" ht="22.5" customHeight="1" spans="9:57"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E70" s="179"/>
    </row>
    <row r="71" ht="22.5" customHeight="1" spans="9:57"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E71" s="179"/>
    </row>
    <row r="72" ht="22.5" customHeight="1" spans="9:57"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E72" s="179"/>
    </row>
    <row r="73" ht="22.5" customHeight="1" spans="9:57"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182"/>
      <c r="BE73" s="179"/>
    </row>
    <row r="74" ht="22.5" customHeight="1" spans="9:57"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183"/>
      <c r="BE74" s="184"/>
    </row>
    <row r="75" ht="22.5" customHeight="1" spans="9:57"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E75" s="184"/>
    </row>
    <row r="76" ht="22.5" customHeight="1" spans="9:57"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183"/>
      <c r="BE76" s="184"/>
    </row>
    <row r="77" ht="22.5" customHeight="1" spans="9:57"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183"/>
      <c r="BE77" s="184"/>
    </row>
    <row r="78" ht="22.5" customHeight="1" spans="9:57"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183"/>
      <c r="BE78" s="184"/>
    </row>
    <row r="79" ht="22.5" customHeight="1" spans="9:57"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183"/>
      <c r="BE79" s="184"/>
    </row>
    <row r="80" ht="22.5" customHeight="1" spans="9:57">
      <c r="L80" s="3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183"/>
      <c r="BE80" s="184"/>
    </row>
    <row r="81" ht="22.5" customHeight="1" spans="4:59"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183"/>
      <c r="BE81" s="184"/>
    </row>
    <row r="82" ht="22.5" customHeight="1" spans="4:59"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183"/>
      <c r="BE82" s="184"/>
    </row>
    <row r="83" ht="22.5" customHeight="1" spans="4:59"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183"/>
      <c r="BE83" s="184"/>
    </row>
    <row r="84" ht="27.75" customHeight="1" spans="4:59">
      <c r="D84" s="2"/>
      <c r="I84" s="2"/>
      <c r="K84" s="2"/>
      <c r="P84" s="1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7"/>
      <c r="BB84" s="177"/>
      <c r="BC84" s="177"/>
      <c r="BD84" s="178"/>
      <c r="BE84" s="179"/>
      <c r="BF84" s="180"/>
      <c r="BG84" s="181"/>
    </row>
    <row r="85" ht="29.25" customHeight="1" spans="4:59"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182"/>
      <c r="BE85" s="179"/>
    </row>
    <row r="86" ht="22.5" customHeight="1" spans="4:59">
      <c r="L86" s="11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182"/>
      <c r="BE86" s="179"/>
    </row>
    <row r="87" ht="22.5" customHeight="1" spans="4:59">
      <c r="M87" s="4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E87" s="179"/>
    </row>
    <row r="88" ht="22.5" customHeight="1" spans="4:59">
      <c r="I88" s="2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E88" s="179"/>
    </row>
    <row r="89" ht="22.5" customHeight="1" spans="4:59"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E89" s="179"/>
    </row>
    <row r="90" ht="22.5" customHeight="1" spans="4:59"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E90" s="179"/>
    </row>
    <row r="91" ht="22.5" customHeight="1" spans="4:59"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E91" s="179"/>
    </row>
    <row r="92" ht="22.5" customHeight="1" spans="4:59"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182"/>
      <c r="BE92" s="179"/>
    </row>
    <row r="93" ht="22.5" customHeight="1" spans="4:59"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183"/>
      <c r="BE93" s="184"/>
    </row>
    <row r="94" ht="22.5" customHeight="1" spans="4:59"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E94" s="184"/>
    </row>
    <row r="95" ht="22.5" customHeight="1" spans="4:59"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183"/>
      <c r="BE95" s="184"/>
    </row>
    <row r="96" ht="22.5" customHeight="1" spans="4:59"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183"/>
      <c r="BE96" s="184"/>
    </row>
    <row r="97" ht="22.5" customHeight="1" spans="12:57"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183"/>
      <c r="BE97" s="184"/>
    </row>
    <row r="98" ht="22.5" customHeight="1" spans="12:57"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183"/>
      <c r="BE98" s="184"/>
    </row>
    <row r="99" ht="22.5" customHeight="1" spans="12:57">
      <c r="L99" s="3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183"/>
      <c r="BE99" s="184"/>
    </row>
    <row r="100" ht="22.5" customHeight="1" spans="12:57"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183"/>
      <c r="BE100" s="184"/>
    </row>
    <row r="101" ht="22.5" customHeight="1" spans="12:57"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183"/>
      <c r="BE101" s="184"/>
    </row>
    <row r="102" ht="22.5" customHeight="1" spans="12:57"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183"/>
      <c r="BE102" s="184"/>
    </row>
    <row r="103" ht="22.5" customHeight="1" spans="12:57"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183"/>
      <c r="BE103" s="184"/>
    </row>
  </sheetData>
  <mergeCells count="155">
    <mergeCell ref="Q1:BD1"/>
    <mergeCell ref="Q2:BC2"/>
    <mergeCell ref="BE2:BF2"/>
    <mergeCell ref="A2:A3"/>
    <mergeCell ref="A5:A18"/>
    <mergeCell ref="A19:A20"/>
    <mergeCell ref="A22:A26"/>
    <mergeCell ref="B2:B3"/>
    <mergeCell ref="C2:C3"/>
    <mergeCell ref="D2:D3"/>
    <mergeCell ref="E2:E3"/>
    <mergeCell ref="F2:F3"/>
    <mergeCell ref="G2:G3"/>
    <mergeCell ref="H2:H3"/>
    <mergeCell ref="I2:I3"/>
    <mergeCell ref="I5:I7"/>
    <mergeCell ref="I8:I9"/>
    <mergeCell ref="I10:I16"/>
    <mergeCell ref="I17:I18"/>
    <mergeCell ref="J2:J3"/>
    <mergeCell ref="K2:K3"/>
    <mergeCell ref="L2:L3"/>
    <mergeCell ref="M2:M3"/>
    <mergeCell ref="N2:N3"/>
    <mergeCell ref="O2:O3"/>
    <mergeCell ref="P2:P3"/>
    <mergeCell ref="P5:P7"/>
    <mergeCell ref="P8:P9"/>
    <mergeCell ref="P10:P16"/>
    <mergeCell ref="P17:P18"/>
    <mergeCell ref="P23:P24"/>
    <mergeCell ref="Q5:Q7"/>
    <mergeCell ref="Q8:Q9"/>
    <mergeCell ref="Q10:Q16"/>
    <mergeCell ref="Q17:Q18"/>
    <mergeCell ref="R5:R7"/>
    <mergeCell ref="R8:R9"/>
    <mergeCell ref="R10:R16"/>
    <mergeCell ref="S5:S7"/>
    <mergeCell ref="S8:S9"/>
    <mergeCell ref="S10:S16"/>
    <mergeCell ref="T5:T7"/>
    <mergeCell ref="T8:T9"/>
    <mergeCell ref="T10:T16"/>
    <mergeCell ref="U5:U7"/>
    <mergeCell ref="U8:U9"/>
    <mergeCell ref="U10:U16"/>
    <mergeCell ref="V5:V7"/>
    <mergeCell ref="V8:V9"/>
    <mergeCell ref="V10:V16"/>
    <mergeCell ref="W5:W7"/>
    <mergeCell ref="W8:W9"/>
    <mergeCell ref="W10:W16"/>
    <mergeCell ref="X5:X7"/>
    <mergeCell ref="X8:X9"/>
    <mergeCell ref="X10:X16"/>
    <mergeCell ref="Y5:Y7"/>
    <mergeCell ref="Y8:Y9"/>
    <mergeCell ref="Y10:Y16"/>
    <mergeCell ref="Z5:Z7"/>
    <mergeCell ref="Z8:Z9"/>
    <mergeCell ref="Z10:Z16"/>
    <mergeCell ref="AA5:AA7"/>
    <mergeCell ref="AA8:AA9"/>
    <mergeCell ref="AA10:AA16"/>
    <mergeCell ref="AB5:AB7"/>
    <mergeCell ref="AB8:AB9"/>
    <mergeCell ref="AB10:AB16"/>
    <mergeCell ref="AC5:AC7"/>
    <mergeCell ref="AC8:AC9"/>
    <mergeCell ref="AC10:AC16"/>
    <mergeCell ref="AD5:AD7"/>
    <mergeCell ref="AD8:AD9"/>
    <mergeCell ref="AD10:AD16"/>
    <mergeCell ref="AE5:AE7"/>
    <mergeCell ref="AE8:AE9"/>
    <mergeCell ref="AE10:AE16"/>
    <mergeCell ref="AF5:AF7"/>
    <mergeCell ref="AF8:AF9"/>
    <mergeCell ref="AF10:AF16"/>
    <mergeCell ref="AG5:AG7"/>
    <mergeCell ref="AG8:AG9"/>
    <mergeCell ref="AG10:AG16"/>
    <mergeCell ref="AH5:AH7"/>
    <mergeCell ref="AH8:AH9"/>
    <mergeCell ref="AH10:AH16"/>
    <mergeCell ref="AI5:AI7"/>
    <mergeCell ref="AI8:AI9"/>
    <mergeCell ref="AI10:AI16"/>
    <mergeCell ref="AJ5:AJ7"/>
    <mergeCell ref="AJ8:AJ9"/>
    <mergeCell ref="AJ10:AJ16"/>
    <mergeCell ref="AK5:AK7"/>
    <mergeCell ref="AK8:AK9"/>
    <mergeCell ref="AK10:AK16"/>
    <mergeCell ref="AL5:AL7"/>
    <mergeCell ref="AL8:AL9"/>
    <mergeCell ref="AL10:AL16"/>
    <mergeCell ref="AM5:AM7"/>
    <mergeCell ref="AM8:AM9"/>
    <mergeCell ref="AM10:AM16"/>
    <mergeCell ref="AN5:AN7"/>
    <mergeCell ref="AN8:AN9"/>
    <mergeCell ref="AN10:AN16"/>
    <mergeCell ref="AO5:AO7"/>
    <mergeCell ref="AO8:AO9"/>
    <mergeCell ref="AO10:AO16"/>
    <mergeCell ref="AP5:AP7"/>
    <mergeCell ref="AP8:AP9"/>
    <mergeCell ref="AP10:AP16"/>
    <mergeCell ref="AQ5:AQ7"/>
    <mergeCell ref="AQ8:AQ9"/>
    <mergeCell ref="AQ10:AQ16"/>
    <mergeCell ref="AR5:AR7"/>
    <mergeCell ref="AR8:AR9"/>
    <mergeCell ref="AR10:AR16"/>
    <mergeCell ref="AS5:AS7"/>
    <mergeCell ref="AS8:AS9"/>
    <mergeCell ref="AS10:AS16"/>
    <mergeCell ref="AT5:AT7"/>
    <mergeCell ref="AT8:AT9"/>
    <mergeCell ref="AT10:AT16"/>
    <mergeCell ref="AU5:AU7"/>
    <mergeCell ref="AU8:AU9"/>
    <mergeCell ref="AU10:AU16"/>
    <mergeCell ref="AV5:AV7"/>
    <mergeCell ref="AV8:AV9"/>
    <mergeCell ref="AV10:AV16"/>
    <mergeCell ref="AW5:AW7"/>
    <mergeCell ref="AW8:AW9"/>
    <mergeCell ref="AW10:AW16"/>
    <mergeCell ref="AX5:AX7"/>
    <mergeCell ref="AX8:AX9"/>
    <mergeCell ref="AX10:AX16"/>
    <mergeCell ref="AY5:AY7"/>
    <mergeCell ref="AY8:AY9"/>
    <mergeCell ref="AY10:AY16"/>
    <mergeCell ref="AZ5:AZ7"/>
    <mergeCell ref="AZ8:AZ9"/>
    <mergeCell ref="AZ10:AZ16"/>
    <mergeCell ref="BA5:BA7"/>
    <mergeCell ref="BA8:BA9"/>
    <mergeCell ref="BA10:BA16"/>
    <mergeCell ref="BB5:BB7"/>
    <mergeCell ref="BB8:BB9"/>
    <mergeCell ref="BB10:BB16"/>
    <mergeCell ref="BC5:BC7"/>
    <mergeCell ref="BC8:BC9"/>
    <mergeCell ref="BC10:BC16"/>
    <mergeCell ref="BD2:BD3"/>
    <mergeCell ref="BG2:BG3"/>
    <mergeCell ref="BH2:BH3"/>
    <mergeCell ref="BI2:BI3"/>
    <mergeCell ref="BJ2:BJ3"/>
    <mergeCell ref="BK2:BK3"/>
  </mergeCells>
  <conditionalFormatting sqref="D1:D8 D10:D139">
    <cfRule type="containsText" dxfId="0" priority="1" operator="between" text="SO">
      <formula>NOT(ISERROR(SEARCH("SO",D1)))</formula>
    </cfRule>
  </conditionalFormatting>
  <conditionalFormatting sqref="E1:E8 E10:E24 E29:E30 E84:F95">
    <cfRule type="containsText" dxfId="2" priority="2" operator="between" text="研发费用单">
      <formula>NOT(ISERROR(SEARCH("研发费用单",E1)))</formula>
    </cfRule>
  </conditionalFormatting>
  <conditionalFormatting sqref="BF1:BF2 BF5:BF8 BF10:BF55 BF57:BF139">
    <cfRule type="notContainsBlanks" dxfId="7" priority="4">
      <formula>LEN(TRIM(BF1))&gt;0</formula>
    </cfRule>
  </conditionalFormatting>
  <conditionalFormatting sqref="C2:C139 H6 H25:H26 H30:H33 H37:H53 H55 H57:H61 H63:H70 H76:H77 H84:H95 H102:H105 H107 H112 H115 H131">
    <cfRule type="containsText" dxfId="5" priority="6" operator="between" text="√">
      <formula>NOT(ISERROR(SEARCH("√",C2)))</formula>
    </cfRule>
  </conditionalFormatting>
  <conditionalFormatting sqref="K2:L3 K5:K8 K10:K31 J37:K65 H59:H61 J66:J68 K66:K111 E69:J69 J70 E101:G101 I101:J101 I104 J105 I106 J107 I111 J112:K112 K113:K115 K120:K122 K134:K136 I137:I139 K139">
    <cfRule type="containsText" dxfId="6" priority="5" operator="between" text="系统">
      <formula>NOT(ISERROR(SEARCH("系统",E2)))</formula>
    </cfRule>
  </conditionalFormatting>
  <conditionalFormatting sqref="H5 H8:H12 H14:H15 H19:H20 H24 H29:H30 H42:H45 H59:H61 H69 H71:H77 C84:C95 H84:H96 H106 H108:H110 H113 H115:H139">
    <cfRule type="notContainsBlanks" dxfId="0" priority="3">
      <formula>LEN(TRIM(C5))&gt;0</formula>
    </cfRule>
  </conditionalFormatting>
  <conditionalFormatting sqref="D5:D8 D10:D139">
    <cfRule type="containsText" dxfId="0" priority="7" operator="between" text="√">
      <formula>NOT(ISERROR(SEARCH("√",D5)))</formula>
    </cfRule>
  </conditionalFormatting>
  <dataValidations count="1">
    <dataValidation type="list" allowBlank="1" showInputMessage="1" showErrorMessage="1" sqref="BE3:BE200">
      <formula1>"中控线,按键线,蓝牙模块,安全芯片,磁环,保护膜,/,"</formula1>
    </dataValidation>
  </dataValidations>
  <pageMargins left="0.7" right="0.7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【成品】滚动安全库存策略</vt:lpstr>
      <vt:lpstr>【量产客户】发货checklist</vt:lpstr>
      <vt:lpstr>历史订单（系统未关闭）</vt:lpstr>
      <vt:lpstr>【迪太生产】未出货订单明细（所有部门查看）</vt:lpstr>
      <vt:lpstr>【L182&amp;L401】待交货订单明细</vt:lpstr>
      <vt:lpstr>5月订单交付明细（4.22锁单版）</vt:lpstr>
      <vt:lpstr>25年订单准交率（从4月份起）</vt:lpstr>
      <vt:lpstr>【乐骑】待交货订单明细（市场维护）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dragons</cp:lastModifiedBy>
  <dcterms:created xsi:type="dcterms:W3CDTF">2025-11-07T09:52:00Z</dcterms:created>
  <dcterms:modified xsi:type="dcterms:W3CDTF">2025-11-08T15:12:22Z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D87AAA71F50A52B5F2EC0E69934B320C_43</vt:lpwstr>
  </property>
  <property fmtid="{D5CDD505-2E9C-101B-9397-08002B2CF9AE}" pid="3" name="KSOProductBuildVer">
    <vt:lpwstr>2052-12.1.23540.23540</vt:lpwstr>
  </property>
</Properties>
</file>